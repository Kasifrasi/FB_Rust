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inanzbericht" sheetId="1" state="visible" r:id="rId1"/>
    <sheet name="Sprachversionen" sheetId="2" state="visible" r:id="rId2"/>
  </sheets>
  <definedNames>
    <definedName name="_xlnm.Print_Area" localSheetId="0">Finanzbericht!$A$1:$W$187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<sst xmlns="http://schemas.openxmlformats.org/spreadsheetml/2006/main" count="575" uniqueCount="575">
  <si>
    <t>deutsch</t>
  </si>
  <si>
    <t>Euro</t>
  </si>
  <si>
    <t>1.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</si>
  <si>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</si>
  <si>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</si>
  <si>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</si>
  <si>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</si>
  <si>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</si>
  <si>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</si>
  <si>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</si>
  <si>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</si>
  <si>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</si>
  <si>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</si>
  <si>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</si>
  <si>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</si>
  <si>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</si>
  <si>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</si>
  <si>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</si>
  <si>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</si>
  <si>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</si>
  <si>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</si>
  <si>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</si>
  <si>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</si>
  <si>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2.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</si>
  <si>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</si>
  <si>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</si>
  <si>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</si>
  <si>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</si>
  <si>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</si>
  <si>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</si>
  <si>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</si>
  <si>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</si>
  <si>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</si>
  <si>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</si>
  <si>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</si>
  <si>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</si>
  <si>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</si>
  <si>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</si>
  <si>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</si>
  <si>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</si>
  <si>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</si>
  <si>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</si>
  <si>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</si>
  <si>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</si>
  <si>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3.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</si>
  <si>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</si>
  <si>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</si>
  <si>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</si>
  <si>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</si>
  <si>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</si>
  <si>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</si>
  <si>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</si>
  <si>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</si>
  <si>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</si>
  <si>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</si>
  <si>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</si>
  <si>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</si>
  <si>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</si>
  <si>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</si>
  <si>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</si>
  <si>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</si>
  <si>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</si>
  <si>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</si>
  <si>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</si>
  <si>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</si>
  <si>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</si>
  <si>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</si>
  <si>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</si>
  <si>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</si>
  <si>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</si>
  <si>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</si>
  <si>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</si>
  <si>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</si>
  <si>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</si>
  <si>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</si>
  <si>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4.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</si>
  <si>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</si>
  <si>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</si>
  <si>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</si>
  <si>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</si>
  <si>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</si>
  <si>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</si>
  <si>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</si>
  <si>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</si>
  <si>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</si>
  <si>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</si>
  <si>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</si>
  <si>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</si>
  <si>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</si>
  <si>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</si>
  <si>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</si>
  <si>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</si>
  <si>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</si>
  <si>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</si>
  <si>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</si>
  <si>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</si>
  <si>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</si>
  <si>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</si>
  <si>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</si>
  <si>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</si>
  <si>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</si>
  <si>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</si>
  <si>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</si>
  <si>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</si>
  <si>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</si>
  <si>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</si>
  <si>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5.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</si>
  <si>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</si>
  <si>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</si>
  <si>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</si>
  <si>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</si>
  <si>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</si>
  <si>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</si>
  <si>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</si>
  <si>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</si>
  <si>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</si>
  <si>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</si>
  <si>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</si>
  <si>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</si>
  <si>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</si>
  <si>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</si>
  <si>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</si>
  <si>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</si>
  <si>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</si>
  <si>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</si>
  <si>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</si>
  <si>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</si>
  <si>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6.</t>
  </si>
  <si>
    <t>7.</t>
  </si>
  <si>
    <t>8.</t>
  </si>
  <si>
    <t>AED</t>
  </si>
  <si>
    <t xml:space="preserve">F I N A N Z B E R I C H T</t>
  </si>
  <si>
    <t xml:space="preserve">ÜBERSICHT ÜBER EINNAHMEN UND AUSGABEN</t>
  </si>
  <si>
    <t>Projektnummer</t>
  </si>
  <si>
    <t>Projektlaufzeit</t>
  </si>
  <si>
    <t xml:space="preserve">Aktueller Berichtszeitraum</t>
  </si>
  <si>
    <t xml:space="preserve">von (TT MM JJJJ):</t>
  </si>
  <si>
    <t xml:space="preserve">bis (TT MM JJJJ):</t>
  </si>
  <si>
    <t>EINNAHMEN</t>
  </si>
  <si>
    <t xml:space="preserve">(in lokaler Währung)</t>
  </si>
  <si>
    <t xml:space="preserve">Bewilligtes Budget</t>
  </si>
  <si>
    <t xml:space="preserve">Einnahmen im Berichtszeitraum</t>
  </si>
  <si>
    <t xml:space="preserve">Einnahmen der gesamten Projektlaufzeit</t>
  </si>
  <si>
    <t xml:space="preserve">% erhaltene Einnahmen</t>
  </si>
  <si>
    <t xml:space="preserve">Begründung der Budgetüber- oder unterschreitung</t>
  </si>
  <si>
    <t xml:space="preserve">Saldovortrag (aus vorherigem Berichtszeitraum)</t>
  </si>
  <si>
    <t xml:space="preserve">Lokale Eigenleistung</t>
  </si>
  <si>
    <t xml:space="preserve">Beiträge von dritter Seite</t>
  </si>
  <si>
    <t xml:space="preserve">KMW Mittel*</t>
  </si>
  <si>
    <t>Zinserträge</t>
  </si>
  <si>
    <t>GESAMT</t>
  </si>
  <si>
    <t>Datum</t>
  </si>
  <si>
    <t>Rate</t>
  </si>
  <si>
    <t>AUSGABEN</t>
  </si>
  <si>
    <t xml:space="preserve">Ausgaben im Berichtszeitraum</t>
  </si>
  <si>
    <t>Projekttitel</t>
  </si>
  <si>
    <t>Sprache</t>
  </si>
  <si>
    <t>Lokalwährung</t>
  </si>
  <si>
    <t>Bauausgaben</t>
  </si>
  <si>
    <t xml:space="preserve">     Zwischensumme Bauausgaben</t>
  </si>
  <si>
    <t xml:space="preserve">Einmalige Ausgaben (Investitionen)</t>
  </si>
  <si>
    <t xml:space="preserve">     Zwischensumme Einmalige Ausgaben (Investitionen)</t>
  </si>
  <si>
    <t>Personalkosten</t>
  </si>
  <si>
    <t xml:space="preserve">     Zwischensumme Personalkosten</t>
  </si>
  <si>
    <t xml:space="preserve">Laufende Ausgaben für Projektaktivitäten</t>
  </si>
  <si>
    <t xml:space="preserve">     Zwischensumme Laufende Ausgaben für Projektaktivitäten</t>
  </si>
  <si>
    <t>Projektverwaltung</t>
  </si>
  <si>
    <t xml:space="preserve">     Zwischensumme Projektverwaltung</t>
  </si>
  <si>
    <t>Evaluierung</t>
  </si>
  <si>
    <t>Audit</t>
  </si>
  <si>
    <t xml:space="preserve">Reserve - nur nach Genehmigung</t>
  </si>
  <si>
    <t>Summe</t>
  </si>
  <si>
    <t>ABSCHLUSS</t>
  </si>
  <si>
    <t xml:space="preserve">Saldo für den Berichtszeitraum</t>
  </si>
  <si>
    <t xml:space="preserve">Saldo (Einnahmen minus Ausgaben)</t>
  </si>
  <si>
    <t>Saldenabstimmung:</t>
  </si>
  <si>
    <t>Bank</t>
  </si>
  <si>
    <t>Kasse</t>
  </si>
  <si>
    <t xml:space="preserve">Sonstiges (noch nicht eingelöste Schecks, Vorschüsse, Darlehen, etc.)</t>
  </si>
  <si>
    <t xml:space="preserve">Ich/Wir bestätige/n die Richtigkeit des vorliegenden Berichts unter Einhaltung des von beiden Partnern unterzeichneten Projektvertrages.</t>
  </si>
  <si>
    <t xml:space="preserve">Ort, Datum                  Unterschrift des Projektverantwortlichen</t>
  </si>
  <si>
    <t xml:space="preserve">Unterschrift einer weiteren autorisierten Person</t>
  </si>
  <si>
    <t xml:space="preserve">Funktion in der Organisation: </t>
  </si>
  <si>
    <t xml:space="preserve">Ich/Wir bestätige/n, dass die lokale Eigenleistung monetär ist. </t>
  </si>
  <si>
    <t xml:space="preserve">Ausgaben der gesamten Projektlaufzeit</t>
  </si>
  <si>
    <t xml:space="preserve">% verwendetes Budget</t>
  </si>
  <si>
    <t>Wechselkurs</t>
  </si>
  <si>
    <t>WK</t>
  </si>
  <si>
    <t xml:space="preserve">Ausfüllbare Felder sind in den Farben links</t>
  </si>
  <si>
    <t>Tipp:</t>
  </si>
  <si>
    <t xml:space="preserve">Bitte nutzen Sie zum ausfüllen des Finanzberichts unsere Ausfüllhilfe auf unserer Webseite:</t>
  </si>
  <si>
    <t>https://www.kindermissionswerk.org/fuer-partner/service</t>
  </si>
  <si>
    <t>AFN</t>
  </si>
  <si>
    <t>english</t>
  </si>
  <si>
    <t xml:space="preserve">F I N A N C I A L  R E P O R T </t>
  </si>
  <si>
    <t xml:space="preserve">OVERVIEW - INCOME AND EXPENDITURE</t>
  </si>
  <si>
    <t xml:space="preserve">Project Number</t>
  </si>
  <si>
    <t xml:space="preserve">Project Duration</t>
  </si>
  <si>
    <t xml:space="preserve">Actual Reporting Period</t>
  </si>
  <si>
    <t xml:space="preserve">From (DD.MM.YYYY)</t>
  </si>
  <si>
    <t xml:space="preserve">To (DD.MM.YYYY)</t>
  </si>
  <si>
    <t>INCOME</t>
  </si>
  <si>
    <t xml:space="preserve">(In Local Currency)</t>
  </si>
  <si>
    <t xml:space="preserve">Approved Budget</t>
  </si>
  <si>
    <t xml:space="preserve">Income During Reporting Period</t>
  </si>
  <si>
    <t xml:space="preserve">Total project Income (Till date) </t>
  </si>
  <si>
    <t xml:space="preserve">% Income received</t>
  </si>
  <si>
    <t xml:space="preserve">Justification of budget surplus or deficit</t>
  </si>
  <si>
    <t xml:space="preserve">Balance -  carried forward from previous reporting period</t>
  </si>
  <si>
    <t xml:space="preserve">Local Contribution</t>
  </si>
  <si>
    <t xml:space="preserve">Third Party Contribution</t>
  </si>
  <si>
    <t xml:space="preserve">KMW Funds*</t>
  </si>
  <si>
    <t xml:space="preserve">Interest gains</t>
  </si>
  <si>
    <t>Total</t>
  </si>
  <si>
    <t>Date</t>
  </si>
  <si>
    <t>Installment</t>
  </si>
  <si>
    <t>EXPENSES</t>
  </si>
  <si>
    <t xml:space="preserve">Expenses in Reporting Period</t>
  </si>
  <si>
    <t xml:space="preserve">Project Title</t>
  </si>
  <si>
    <t>Language</t>
  </si>
  <si>
    <t xml:space="preserve">Local Currrency</t>
  </si>
  <si>
    <t xml:space="preserve">Building Expenses</t>
  </si>
  <si>
    <t xml:space="preserve">Subtotal Building Expenses</t>
  </si>
  <si>
    <t xml:space="preserve">Non-Recurring Expenses (Investments)</t>
  </si>
  <si>
    <t xml:space="preserve">Subtotal Non Recurring Expenses (Investments)</t>
  </si>
  <si>
    <t xml:space="preserve">Personnel Expenses</t>
  </si>
  <si>
    <t xml:space="preserve">Subtotal Personnel Expenses</t>
  </si>
  <si>
    <t xml:space="preserve">Ongoing Expenses for Project Activities</t>
  </si>
  <si>
    <t xml:space="preserve">Subtotal Ongoing Expenses for Project Activities</t>
  </si>
  <si>
    <t xml:space="preserve">Project Administration</t>
  </si>
  <si>
    <t xml:space="preserve">Subtotal Project Administration</t>
  </si>
  <si>
    <t>Evaluation</t>
  </si>
  <si>
    <t xml:space="preserve">Contingency reserve - after authorisation only</t>
  </si>
  <si>
    <t>Summary</t>
  </si>
  <si>
    <t xml:space="preserve">Balance for the Reporting Period</t>
  </si>
  <si>
    <t xml:space="preserve">Balance (Income Minus Expenses)</t>
  </si>
  <si>
    <t xml:space="preserve">Balance Reconciliation</t>
  </si>
  <si>
    <t>Cash</t>
  </si>
  <si>
    <t xml:space="preserve">Others (Uncashed Cheque, advances, loans etc.)</t>
  </si>
  <si>
    <t xml:space="preserve">I/We confirm the accuracy of this report in compliance with the project contract signed by both partners.</t>
  </si>
  <si>
    <t xml:space="preserve">Place, date Signature of the person responsible for the project</t>
  </si>
  <si>
    <t xml:space="preserve">Signature of another authorized person</t>
  </si>
  <si>
    <t xml:space="preserve">Function within the organization:</t>
  </si>
  <si>
    <t xml:space="preserve">I/We confirm that the local contribution is monetary. </t>
  </si>
  <si>
    <t xml:space="preserve">Total Project Expenditure</t>
  </si>
  <si>
    <t xml:space="preserve">% Used Budget</t>
  </si>
  <si>
    <t xml:space="preserve">Exchange Rate</t>
  </si>
  <si>
    <t>ER</t>
  </si>
  <si>
    <t xml:space="preserve">Fillable fields are in the colours on the left</t>
  </si>
  <si>
    <t>Tip:</t>
  </si>
  <si>
    <t xml:space="preserve">Please use our completion guide on our website to fill out the financial report.</t>
  </si>
  <si>
    <t>https://www.kindermissionswerk.org/en/partners/service</t>
  </si>
  <si>
    <t>ALL</t>
  </si>
  <si>
    <t>français</t>
  </si>
  <si>
    <t xml:space="preserve">R A P P O R T   F I N A N C I E R</t>
  </si>
  <si>
    <t xml:space="preserve">APERÇU DES RECETTES ET DÉPENSES</t>
  </si>
  <si>
    <t xml:space="preserve">Numéro du projet</t>
  </si>
  <si>
    <t xml:space="preserve">Durée totale du projet</t>
  </si>
  <si>
    <t xml:space="preserve">Période actuelle couverte par le rapport</t>
  </si>
  <si>
    <t xml:space="preserve">de (JJ/MM/AAAA) :</t>
  </si>
  <si>
    <t>RECETTES</t>
  </si>
  <si>
    <t xml:space="preserve">(en monnaie locale)</t>
  </si>
  <si>
    <t xml:space="preserve">Budget apprové</t>
  </si>
  <si>
    <t xml:space="preserve">Recettes pendant la période du rapport</t>
  </si>
  <si>
    <t xml:space="preserve">Cumul recettes sur toute la période</t>
  </si>
  <si>
    <t xml:space="preserve">% des recettes perçues</t>
  </si>
  <si>
    <t xml:space="preserve">Explication du dépassement de budget</t>
  </si>
  <si>
    <t xml:space="preserve">Solde (de la période précédente)</t>
  </si>
  <si>
    <t xml:space="preserve">Apport local</t>
  </si>
  <si>
    <t xml:space="preserve">Contributions de tiers</t>
  </si>
  <si>
    <t xml:space="preserve">Fonds KMW*</t>
  </si>
  <si>
    <t xml:space="preserve">Intérêts bancaires</t>
  </si>
  <si>
    <t>TOTAL</t>
  </si>
  <si>
    <t>versement</t>
  </si>
  <si>
    <t>DÉPENSES</t>
  </si>
  <si>
    <t xml:space="preserve">Dépenses pendant la période du rapport</t>
  </si>
  <si>
    <t xml:space="preserve">Titre du projet</t>
  </si>
  <si>
    <t>Langue</t>
  </si>
  <si>
    <t xml:space="preserve">Monnaie locale</t>
  </si>
  <si>
    <t xml:space="preserve">Dépenses de construction</t>
  </si>
  <si>
    <t xml:space="preserve">     Sous-total dépenses de construction</t>
  </si>
  <si>
    <t xml:space="preserve">Dépenses uniques (investissements)</t>
  </si>
  <si>
    <t xml:space="preserve">     Sous-total dépenses uniques (investissements)</t>
  </si>
  <si>
    <t>Personnel</t>
  </si>
  <si>
    <t xml:space="preserve">Sous-total personnel</t>
  </si>
  <si>
    <t xml:space="preserve">Dépenses courantes pour activités de projet</t>
  </si>
  <si>
    <t xml:space="preserve">     Sous-total dépenses courantes pour activités de projet</t>
  </si>
  <si>
    <t xml:space="preserve">Gestion de projet</t>
  </si>
  <si>
    <t xml:space="preserve">     Sous-total gestion de projet</t>
  </si>
  <si>
    <t xml:space="preserve">Réserve - uniquement après accord</t>
  </si>
  <si>
    <t xml:space="preserve">CLÔTURE DES COMPTES</t>
  </si>
  <si>
    <t xml:space="preserve">Solde à la fin de la période du rapport</t>
  </si>
  <si>
    <t xml:space="preserve">Solde (recettes moins dépenses)</t>
  </si>
  <si>
    <t xml:space="preserve">Rapprochement des soldes :</t>
  </si>
  <si>
    <t>Banque</t>
  </si>
  <si>
    <t>Caisse</t>
  </si>
  <si>
    <t xml:space="preserve">Divers (chèques non encaissés, avances, prêts, etc.)</t>
  </si>
  <si>
    <t xml:space="preserve">Je confirme / Nous certifions que le présent rapport est exact et conforme au contrat de projet signé par les deux partenaires.</t>
  </si>
  <si>
    <t xml:space="preserve">Lieu, date                  Signature du responsable du projet</t>
  </si>
  <si>
    <t xml:space="preserve">Signature d’une autre personne autorisée</t>
  </si>
  <si>
    <t xml:space="preserve">Fonction au sein de l’organisation : </t>
  </si>
  <si>
    <t xml:space="preserve">Je confirme / Nous confirmons que l'apport local est monétaire.</t>
  </si>
  <si>
    <t xml:space="preserve">Cumul dépenses sur toute la période</t>
  </si>
  <si>
    <t xml:space="preserve">% budget consommé</t>
  </si>
  <si>
    <t xml:space="preserve">Taux de change</t>
  </si>
  <si>
    <t>TC</t>
  </si>
  <si>
    <t xml:space="preserve">Les champs remplissables sont dans les couleurs à gauche</t>
  </si>
  <si>
    <t xml:space="preserve">Astuce :</t>
  </si>
  <si>
    <t xml:space="preserve">Veuillez utiliser notre aide à la saisie disponible sur notre site web pour remplir le rapport financier:</t>
  </si>
  <si>
    <t>https://www.kindermissionswerk.org/fr/pour-les-partenaires/services</t>
  </si>
  <si>
    <t>AMD</t>
  </si>
  <si>
    <t>español</t>
  </si>
  <si>
    <t xml:space="preserve">I N F O R M E  F I N A N C I E R O</t>
  </si>
  <si>
    <t xml:space="preserve">Resumen de los ingresos y egresos</t>
  </si>
  <si>
    <t xml:space="preserve">Número del proyecto</t>
  </si>
  <si>
    <t xml:space="preserve">Duración del proyecto</t>
  </si>
  <si>
    <t xml:space="preserve">Período de referencia</t>
  </si>
  <si>
    <t xml:space="preserve">de (DD MM AAAA):</t>
  </si>
  <si>
    <t xml:space="preserve">hasta (DD MM AAAA)</t>
  </si>
  <si>
    <t>Ingresos</t>
  </si>
  <si>
    <t xml:space="preserve">(en moneda local)</t>
  </si>
  <si>
    <t xml:space="preserve">Presupuesto aprobado</t>
  </si>
  <si>
    <t xml:space="preserve">Ingresos del período de referencia</t>
  </si>
  <si>
    <t xml:space="preserve">Ingresos acumulados (total desde el início)</t>
  </si>
  <si>
    <t xml:space="preserve">% Ingresos recibidos</t>
  </si>
  <si>
    <t xml:space="preserve">Justificación del superávit / déficit presupuestario</t>
  </si>
  <si>
    <t xml:space="preserve">Saldo (procendente del período de referencia anterior)</t>
  </si>
  <si>
    <t xml:space="preserve">Aporte propio</t>
  </si>
  <si>
    <t xml:space="preserve">Aportes de terceros</t>
  </si>
  <si>
    <t xml:space="preserve">Fondos KMW *</t>
  </si>
  <si>
    <t xml:space="preserve">Intereses acreedores percibidos</t>
  </si>
  <si>
    <t>Fecha</t>
  </si>
  <si>
    <t>Cuota</t>
  </si>
  <si>
    <t>EGRESOS</t>
  </si>
  <si>
    <t xml:space="preserve">Egresos del período de referencia</t>
  </si>
  <si>
    <t xml:space="preserve">Título del proyecto</t>
  </si>
  <si>
    <t>Idioma</t>
  </si>
  <si>
    <t xml:space="preserve">Moneda local</t>
  </si>
  <si>
    <t xml:space="preserve">Gastos de construcción</t>
  </si>
  <si>
    <t xml:space="preserve">Subtotal gastos de construcción</t>
  </si>
  <si>
    <t xml:space="preserve">Gastos extraordinarios (inversiones)</t>
  </si>
  <si>
    <t xml:space="preserve">Subtotal gastos extraorinarios (inversiones) </t>
  </si>
  <si>
    <t xml:space="preserve">Gastos de personal</t>
  </si>
  <si>
    <t xml:space="preserve">Subtotal gastos de personal</t>
  </si>
  <si>
    <t xml:space="preserve">Gastos corrientes para actividades del proyecto</t>
  </si>
  <si>
    <t xml:space="preserve">Subtotal gastos corrientes para actividades</t>
  </si>
  <si>
    <t xml:space="preserve">Gastos administrativos del proyecto / Gestión del proyecto </t>
  </si>
  <si>
    <t xml:space="preserve">Subtotal gastos administrativos del proyecto</t>
  </si>
  <si>
    <t>Evaluación</t>
  </si>
  <si>
    <t xml:space="preserve">Auditoría externa</t>
  </si>
  <si>
    <t xml:space="preserve">Reserva - solo previa autorización</t>
  </si>
  <si>
    <t xml:space="preserve">CIERRE DE CUENTAS</t>
  </si>
  <si>
    <t xml:space="preserve">Saldo en el período de referencia</t>
  </si>
  <si>
    <t xml:space="preserve">Saldo (ingresos menos egresos)</t>
  </si>
  <si>
    <t xml:space="preserve">Conciliación de saldos </t>
  </si>
  <si>
    <t>Banco</t>
  </si>
  <si>
    <t>Caja</t>
  </si>
  <si>
    <t xml:space="preserve">Otros (cheques aún no cobrados, anticipos, créditos, etc.)</t>
  </si>
  <si>
    <t xml:space="preserve">Por la presente certifico/certificamos la corrección del presente informe, el cual cumple las disposiciones del contrato de proyecto </t>
  </si>
  <si>
    <t xml:space="preserve">Lugar, fecha, firma del resonsable de proyecto</t>
  </si>
  <si>
    <t xml:space="preserve">Firma de otra persona autorizada</t>
  </si>
  <si>
    <t xml:space="preserve">Cargo  o Función dentro de la organización: </t>
  </si>
  <si>
    <t xml:space="preserve">Confirmo/confirmamos que el aporte propio es monetario </t>
  </si>
  <si>
    <t xml:space="preserve">Egresos acumulados desde el início del proyecto</t>
  </si>
  <si>
    <t xml:space="preserve">Ejecución presupuestaria (en %) </t>
  </si>
  <si>
    <t xml:space="preserve">Tipo de cambio</t>
  </si>
  <si>
    <t xml:space="preserve">Los campos rellenables aparecen en los colores de la izquierda</t>
  </si>
  <si>
    <t>Consejo:</t>
  </si>
  <si>
    <t xml:space="preserve">Por favor, utilice nuestra guía para completar el informe financiero, disponible en nuestro sitio web:</t>
  </si>
  <si>
    <t>https://www.kindermissionswerk.org/es/para-contrapartes-de-proyectos/servicios</t>
  </si>
  <si>
    <t>ANG</t>
  </si>
  <si>
    <t>português</t>
  </si>
  <si>
    <t xml:space="preserve">RELATÓRIO FINANCEIRO</t>
  </si>
  <si>
    <t xml:space="preserve">Resumo das receitas e despesas</t>
  </si>
  <si>
    <t xml:space="preserve">Número do projeto </t>
  </si>
  <si>
    <t xml:space="preserve">Duração do projeto</t>
  </si>
  <si>
    <t xml:space="preserve">Período de referência</t>
  </si>
  <si>
    <t xml:space="preserve">até (DD MM AAAA):</t>
  </si>
  <si>
    <t>RECEITAS</t>
  </si>
  <si>
    <t xml:space="preserve">(em moeda local)</t>
  </si>
  <si>
    <t xml:space="preserve">Plano de custos e financiamento aprovado</t>
  </si>
  <si>
    <t xml:space="preserve">Receitas do período de referência</t>
  </si>
  <si>
    <t xml:space="preserve">Receitas cumuladas (total desde o início)</t>
  </si>
  <si>
    <t xml:space="preserve">% Reiceitas recebidas</t>
  </si>
  <si>
    <t xml:space="preserve">Justificação do superávit / déficit orçamentário</t>
  </si>
  <si>
    <t xml:space="preserve">Saldo transportado (do período de referência anterior)</t>
  </si>
  <si>
    <t xml:space="preserve">Contribuição própria </t>
  </si>
  <si>
    <t xml:space="preserve">Contribuções de terceiros</t>
  </si>
  <si>
    <t xml:space="preserve">Subsídio KMW *</t>
  </si>
  <si>
    <t xml:space="preserve">Juros credores auferidos</t>
  </si>
  <si>
    <t>Data</t>
  </si>
  <si>
    <t xml:space="preserve">transferência parcial</t>
  </si>
  <si>
    <t>DESPESAS</t>
  </si>
  <si>
    <t xml:space="preserve">Despesas do período de referência</t>
  </si>
  <si>
    <t xml:space="preserve">Título do projeto</t>
  </si>
  <si>
    <t xml:space="preserve">Moeda local</t>
  </si>
  <si>
    <t xml:space="preserve">Despesas de construção (civil)</t>
  </si>
  <si>
    <t xml:space="preserve">Subtotal despesas de construção (civil) </t>
  </si>
  <si>
    <t xml:space="preserve">Despesas únicas (investimentos)</t>
  </si>
  <si>
    <t xml:space="preserve">Subtotal Despesas únicas (investimentos)</t>
  </si>
  <si>
    <t xml:space="preserve">Despesas com pessoal / recursos humanos</t>
  </si>
  <si>
    <t xml:space="preserve">Subtotal Despesas com pessoal / recursos humanos</t>
  </si>
  <si>
    <t xml:space="preserve">Custos de atividades de projeto</t>
  </si>
  <si>
    <t xml:space="preserve">Subtotal Custos de atividades de projeto</t>
  </si>
  <si>
    <t xml:space="preserve">Administração do projeto</t>
  </si>
  <si>
    <t xml:space="preserve">Subtotal Administração do projeto</t>
  </si>
  <si>
    <t>Avaliação</t>
  </si>
  <si>
    <t xml:space="preserve">Auditoria externa</t>
  </si>
  <si>
    <t xml:space="preserve">Reserva - somente após autorização</t>
  </si>
  <si>
    <t>BALANÇO</t>
  </si>
  <si>
    <t xml:space="preserve">Saldo do período de referência</t>
  </si>
  <si>
    <t xml:space="preserve">Saldo (receitas menos despesas</t>
  </si>
  <si>
    <t xml:space="preserve">Conciliação de saldo </t>
  </si>
  <si>
    <t>Caixa</t>
  </si>
  <si>
    <t xml:space="preserve">Outros (cheques não descontados, adiantamentos, empréstimos, etc.).</t>
  </si>
  <si>
    <t xml:space="preserve">Declaro/declaramos a veracidade deste relatório em conformidade com o contrato firmado entre as partes.</t>
  </si>
  <si>
    <t xml:space="preserve">Local, data e assinatura do responsável do projeto</t>
  </si>
  <si>
    <t xml:space="preserve">Assinatura de uma outra pessoa devidamente autorizada</t>
  </si>
  <si>
    <t xml:space="preserve">Função / cargo na organização:</t>
  </si>
  <si>
    <t xml:space="preserve">Confirmo/confirmamos que a contribuição prória é monetária </t>
  </si>
  <si>
    <t xml:space="preserve">Despesas acumuladas desde o início de projeto </t>
  </si>
  <si>
    <t xml:space="preserve">Execução orçamentária (em %)</t>
  </si>
  <si>
    <t xml:space="preserve">Taxa de câmbio</t>
  </si>
  <si>
    <t xml:space="preserve">Os campos preenchíveis estão nas cores à esquerda</t>
  </si>
  <si>
    <t>Dica:</t>
  </si>
  <si>
    <t xml:space="preserve">Por favor, utilize nosso guia de preenchimento disponível em nosso site para preencher o relatório financeiro:</t>
  </si>
  <si>
    <t>https://www.kindermissionswerk.org/pt/para-os-parceiros/servico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</si>
  <si>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</si>
  <si>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</si>
  <si>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</si>
  <si>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</si>
  <si>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</si>
  <si>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</si>
  <si>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</si>
  <si>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</si>
  <si>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</si>
  <si>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</si>
  <si>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</si>
  <si>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</si>
  <si>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</si>
  <si>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</si>
  <si>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</si>
  <si>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</si>
  <si>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</si>
  <si>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</si>
  <si>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</si>
  <si>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</si>
  <si>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</si>
  <si>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</si>
  <si>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</si>
  <si>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</si>
  <si>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</si>
  <si>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</si>
  <si>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</si>
  <si>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</si>
  <si>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</si>
  <si>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</si>
  <si>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</si>
  <si>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</si>
  <si>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</si>
  <si>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</si>
  <si>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</si>
  <si>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</si>
  <si>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</si>
  <si>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</si>
  <si>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</si>
  <si>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</si>
  <si>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</si>
  <si>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</si>
  <si>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</si>
  <si>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</si>
  <si>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</si>
  <si>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</si>
  <si>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</si>
  <si>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</si>
  <si>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</si>
  <si>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</si>
  <si>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</si>
  <si>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</si>
  <si>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</si>
  <si>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</si>
  <si>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</si>
  <si>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</si>
  <si>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</si>
  <si>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</si>
  <si>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</si>
  <si>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</si>
  <si>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</si>
  <si>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</si>
  <si>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</si>
  <si>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</si>
  <si>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</si>
  <si>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</si>
  <si>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</si>
  <si>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</si>
  <si>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</si>
  <si>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</si>
  <si>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</si>
  <si>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</si>
  <si>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</si>
  <si>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</si>
  <si>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</si>
  <si>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</si>
  <si>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</si>
  <si>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</si>
  <si>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</si>
  <si>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</si>
  <si>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</si>
  <si>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</si>
  <si>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</si>
  <si>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</si>
  <si>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</si>
  <si>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</si>
  <si>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</si>
  <si>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</si>
  <si>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</si>
  <si>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</si>
  <si>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</si>
  <si>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</si>
  <si>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</si>
  <si>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</si>
  <si>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</si>
  <si>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</si>
  <si>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</si>
  <si>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</si>
  <si>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</si>
  <si>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</si>
  <si>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</si>
  <si>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</si>
  <si>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</si>
  <si>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</si>
  <si>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</si>
  <si>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</si>
  <si>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</si>
  <si>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</si>
  <si>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</si>
  <si>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</si>
  <si>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</si>
  <si>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</si>
  <si>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</si>
  <si>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</si>
  <si>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</si>
  <si>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</si>
  <si>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</si>
  <si>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</si>
  <si>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</si>
  <si>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</si>
  <si>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</si>
  <si>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</si>
  <si>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</si>
  <si>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</si>
  <si>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</si>
  <si>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</si>
  <si>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</si>
  <si>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</si>
  <si>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</si>
  <si>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</si>
  <si>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</si>
  <si>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</si>
  <si>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</si>
  <si>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</si>
  <si>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</si>
  <si>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</si>
  <si>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VES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</si>
  <si>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</si>
  <si>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</si>
  <si>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</si>
  <si>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</si>
  <si>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</si>
  <si>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</si>
  <si>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</si>
  <si>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</si>
  <si>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</si>
  <si>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ZMW</t>
  </si>
  <si>
    <t>ZWL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</si>
</sst>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0.0000"/>
  </numFmts>
  <fonts count="11">
    <font>
      <sz val="10.000000"/>
      <color theme="1"/>
      <name val="Arial"/>
    </font>
    <font>
      <sz val="10.000000"/>
      <name val="Arial"/>
    </font>
    <font>
      <u/>
      <sz val="10.000000"/>
      <color theme="10"/>
      <name val="Arial"/>
    </font>
    <font>
      <sz val="11.000000"/>
      <color theme="1"/>
      <name val="Calibri"/>
      <scheme val="minor"/>
    </font>
    <font>
      <b/>
      <sz val="10.000000"/>
      <name val="Arial"/>
    </font>
    <font>
      <sz val="10.000000"/>
      <color theme="0"/>
      <name val="Arial"/>
    </font>
    <font>
      <b/>
      <sz val="10.000000"/>
      <color theme="0" tint="-0.34998626667073579"/>
      <name val="Arial"/>
    </font>
    <font>
      <b/>
      <sz val="10.000000"/>
      <color theme="1"/>
      <name val="Arial"/>
    </font>
    <font>
      <sz val="10.000000"/>
      <color theme="0" tint="-0.249977111117893"/>
      <name val="Arial"/>
    </font>
    <font>
      <sz val="9.000000"/>
      <name val="Arial"/>
    </font>
    <font>
      <b/>
      <sz val="9.00000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51"/>
      </patternFill>
    </fill>
    <fill>
      <patternFill patternType="solid">
        <fgColor rgb="FFFFFAE5"/>
      </patternFill>
    </fill>
    <fill>
      <patternFill patternType="solid">
        <fgColor theme="0" tint="-0.049989318521683403"/>
      </patternFill>
    </fill>
    <fill>
      <patternFill patternType="solid">
        <fgColor theme="0" tint="-0.14999847407452621"/>
      </patternFill>
    </fill>
    <fill>
      <patternFill patternType="solid">
        <fgColor theme="0"/>
      </patternFill>
    </fill>
  </fills>
  <borders count="42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none"/>
      <right style="none"/>
      <top style="none"/>
      <bottom style="dashed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none"/>
      <right style="none"/>
      <top style="dashed">
        <color auto="1"/>
      </top>
      <bottom style="dashed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</borders>
  <cellStyleXfs count="9">
    <xf fontId="0" fillId="0" borderId="0" numFmtId="0" applyNumberFormat="1" applyFont="1" applyFill="1" applyBorder="1"/>
    <xf fontId="1" fillId="0" borderId="0" numFmtId="164" applyNumberFormat="1" applyFont="0" applyFill="0" applyBorder="0" applyProtection="0"/>
    <xf fontId="2" fillId="0" borderId="0" numFmtId="0" applyNumberFormat="0" applyFont="1" applyFill="0" applyBorder="0" applyProtection="0"/>
    <xf fontId="1" fillId="0" borderId="0" numFmtId="9" applyNumberFormat="1" applyFont="0" applyFill="0" applyBorder="0" applyProtection="0"/>
    <xf fontId="3" fillId="0" borderId="0" numFmtId="9" applyNumberFormat="1" applyFont="0" applyFill="0" applyBorder="0" applyProtection="0"/>
    <xf fontId="3" fillId="0" borderId="0" numFmtId="9" applyNumberFormat="1" applyFont="0" applyFill="0" applyBorder="0" applyProtection="0"/>
    <xf fontId="3" fillId="0" borderId="0" numFmtId="0" applyNumberFormat="1" applyFont="1" applyFill="1" applyBorder="1"/>
    <xf fontId="3" fillId="0" borderId="0" numFmtId="0" applyNumberFormat="1" applyFont="1" applyFill="1" applyBorder="1"/>
    <xf fontId="1" fillId="0" borderId="0" numFmtId="0" applyNumberFormat="1" applyFont="1" applyFill="1" applyBorder="1"/>
  </cellStyleXfs>
  <cellXfs count="169">
    <xf fontId="0" fillId="0" borderId="0" numFmtId="0" xfId="0"/>
    <xf fontId="1" fillId="0" borderId="0" numFmtId="0" xfId="0" applyFont="1" applyProtection="1">
      <protection locked="0"/>
    </xf>
    <xf fontId="4" fillId="0" borderId="0" numFmtId="0" xfId="0" applyFont="1" applyAlignment="1">
      <alignment horizontal="left"/>
    </xf>
    <xf fontId="4" fillId="0" borderId="0" numFmtId="0" xfId="0" applyFont="1" applyProtection="1">
      <protection locked="0"/>
    </xf>
    <xf fontId="4" fillId="0" borderId="1" numFmtId="0" xfId="0" applyFont="1" applyBorder="1" applyProtection="1">
      <protection locked="0"/>
    </xf>
    <xf fontId="1" fillId="0" borderId="2" numFmtId="0" xfId="0" applyFont="1" applyBorder="1" applyProtection="1">
      <protection locked="0"/>
    </xf>
    <xf fontId="1" fillId="0" borderId="3" numFmtId="0" xfId="0" applyFont="1" applyBorder="1" applyProtection="1">
      <protection locked="0"/>
    </xf>
    <xf fontId="5" fillId="0" borderId="0" numFmtId="0" xfId="0" applyFont="1" applyAlignment="1">
      <alignment horizontal="left"/>
    </xf>
    <xf fontId="1" fillId="0" borderId="0" numFmtId="0" xfId="0" applyFont="1"/>
    <xf fontId="1" fillId="2" borderId="4" numFmtId="0" xfId="0" applyFont="1" applyFill="1" applyBorder="1" applyAlignment="1" applyProtection="1">
      <alignment horizontal="center"/>
      <protection locked="0"/>
    </xf>
    <xf fontId="1" fillId="0" borderId="5" numFmtId="0" xfId="0" applyFont="1" applyBorder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6" numFmtId="0" xfId="0" applyFont="1" applyBorder="1" applyAlignment="1" applyProtection="1">
      <alignment horizontal="left" wrapText="1"/>
      <protection locked="0"/>
    </xf>
    <xf fontId="1" fillId="2" borderId="7" numFmtId="0" xfId="0" applyFont="1" applyFill="1" applyBorder="1" applyAlignment="1" applyProtection="1">
      <alignment horizontal="center"/>
      <protection locked="0"/>
    </xf>
    <xf fontId="1" fillId="0" borderId="0" numFmtId="0" xfId="0" applyFont="1" applyAlignment="1" applyProtection="1">
      <alignment vertical="top"/>
      <protection locked="0"/>
    </xf>
    <xf fontId="1" fillId="0" borderId="0" numFmtId="0" xfId="0" applyFont="1" applyAlignment="1">
      <alignment horizontal="left"/>
    </xf>
    <xf fontId="2" fillId="0" borderId="8" numFmtId="0" xfId="2" applyFont="1" applyBorder="1" applyAlignment="1" applyProtection="1">
      <alignment horizontal="left" vertical="top" wrapText="1"/>
      <protection locked="0"/>
    </xf>
    <xf fontId="2" fillId="0" borderId="9" numFmtId="0" xfId="2" applyFont="1" applyBorder="1" applyAlignment="1" applyProtection="1">
      <alignment horizontal="left" vertical="top" wrapText="1"/>
      <protection locked="0"/>
    </xf>
    <xf fontId="2" fillId="0" borderId="10" numFmtId="0" xfId="2" applyFont="1" applyBorder="1" applyAlignment="1" applyProtection="1">
      <alignment horizontal="left" vertical="top" wrapText="1"/>
      <protection locked="0"/>
    </xf>
    <xf fontId="1" fillId="3" borderId="11" numFmtId="0" xfId="0" applyFont="1" applyFill="1" applyBorder="1" applyProtection="1">
      <protection locked="0"/>
    </xf>
    <xf fontId="2" fillId="0" borderId="0" numFmtId="0" xfId="2" applyFont="1" applyProtection="1">
      <protection locked="0"/>
    </xf>
    <xf fontId="1" fillId="0" borderId="0" numFmtId="0" xfId="0" applyFont="1" applyAlignment="1">
      <alignment horizontal="left" vertical="center"/>
    </xf>
    <xf fontId="1" fillId="3" borderId="0" numFmtId="0" xfId="0" applyFont="1" applyFill="1" applyAlignment="1" applyProtection="1">
      <alignment horizontal="left" wrapText="1"/>
      <protection locked="0"/>
    </xf>
    <xf fontId="1" fillId="3" borderId="11" numFmtId="0" xfId="0" applyFont="1" applyFill="1" applyBorder="1" applyAlignment="1" applyProtection="1">
      <alignment horizontal="left" wrapText="1"/>
      <protection locked="0"/>
    </xf>
    <xf fontId="1" fillId="2" borderId="12" numFmtId="0" xfId="0" applyFont="1" applyFill="1" applyBorder="1" applyProtection="1">
      <protection locked="0"/>
    </xf>
    <xf fontId="1" fillId="0" borderId="13" numFmtId="0" xfId="0" applyFont="1" applyBorder="1"/>
    <xf fontId="1" fillId="3" borderId="13" numFmtId="14" xfId="0" applyNumberFormat="1" applyFont="1" applyFill="1" applyBorder="1" applyAlignment="1" applyProtection="1">
      <alignment horizontal="left"/>
      <protection locked="0"/>
    </xf>
    <xf fontId="1" fillId="3" borderId="13" numFmtId="0" xfId="0" applyFont="1" applyFill="1" applyBorder="1" applyAlignment="1" applyProtection="1">
      <alignment horizontal="left"/>
      <protection locked="0"/>
    </xf>
    <xf fontId="1" fillId="4" borderId="12" numFmtId="0" xfId="0" applyFont="1" applyFill="1" applyBorder="1" applyProtection="1">
      <protection locked="0"/>
    </xf>
    <xf fontId="1" fillId="3" borderId="12" numFmtId="0" xfId="0" applyFont="1" applyFill="1" applyBorder="1" applyProtection="1">
      <protection locked="0"/>
    </xf>
    <xf fontId="1" fillId="0" borderId="1" numFmtId="0" xfId="0" applyFont="1" applyBorder="1" applyAlignment="1">
      <alignment vertical="center"/>
    </xf>
    <xf fontId="4" fillId="0" borderId="14" numFmtId="0" xfId="0" applyFont="1" applyBorder="1" applyAlignment="1">
      <alignment vertical="center"/>
    </xf>
    <xf fontId="1" fillId="0" borderId="15" numFmtId="0" xfId="0" applyFont="1" applyBorder="1" applyAlignment="1">
      <alignment horizontal="center" vertical="center" wrapText="1"/>
    </xf>
    <xf fontId="4" fillId="0" borderId="15" numFmtId="0" xfId="0" applyFont="1" applyBorder="1" applyAlignment="1">
      <alignment horizontal="center" vertical="center" wrapText="1"/>
    </xf>
    <xf fontId="1" fillId="0" borderId="16" numFmtId="0" xfId="0" applyFont="1" applyBorder="1" applyAlignment="1">
      <alignment horizontal="center" vertical="center" wrapText="1"/>
    </xf>
    <xf fontId="4" fillId="0" borderId="17" numFmtId="0" xfId="0" applyFont="1" applyBorder="1" applyAlignment="1">
      <alignment horizontal="left"/>
    </xf>
    <xf fontId="4" fillId="0" borderId="18" numFmtId="0" xfId="0" applyFont="1" applyBorder="1" applyAlignment="1">
      <alignment horizontal="left"/>
    </xf>
    <xf fontId="1" fillId="0" borderId="18" numFmtId="0" xfId="0" applyFont="1" applyBorder="1"/>
    <xf fontId="1" fillId="0" borderId="19" numFmtId="0" xfId="0" applyFont="1" applyBorder="1"/>
    <xf fontId="4" fillId="0" borderId="5" numFmtId="0" xfId="0" applyFont="1" applyBorder="1" applyAlignment="1">
      <alignment horizontal="center" vertical="center"/>
    </xf>
    <xf fontId="4" fillId="0" borderId="20" numFmtId="0" xfId="0" applyFont="1" applyBorder="1" applyAlignment="1">
      <alignment horizontal="center" vertical="center"/>
    </xf>
    <xf fontId="1" fillId="0" borderId="21" numFmtId="0" xfId="0" applyFont="1" applyBorder="1" applyAlignment="1">
      <alignment horizontal="center" vertical="center" wrapText="1"/>
    </xf>
    <xf fontId="4" fillId="0" borderId="21" numFmtId="0" xfId="0" applyFont="1" applyBorder="1" applyAlignment="1">
      <alignment horizontal="center" vertical="center" wrapText="1"/>
    </xf>
    <xf fontId="1" fillId="0" borderId="22" numFmtId="0" xfId="0" applyFont="1" applyBorder="1" applyAlignment="1">
      <alignment horizontal="center" vertical="center" wrapText="1"/>
    </xf>
    <xf fontId="1" fillId="0" borderId="23" numFmtId="0" xfId="0" applyFont="1" applyBorder="1" applyAlignment="1">
      <alignment horizontal="right"/>
    </xf>
    <xf fontId="1" fillId="0" borderId="20" numFmtId="0" xfId="0" applyFont="1" applyBorder="1"/>
    <xf fontId="1" fillId="0" borderId="5" numFmtId="0" xfId="0" applyFont="1" applyBorder="1" applyAlignment="1">
      <alignment horizontal="center" vertical="center" wrapText="1"/>
    </xf>
    <xf fontId="1" fillId="0" borderId="20" numFmtId="0" xfId="0" applyFont="1" applyBorder="1" applyAlignment="1">
      <alignment horizontal="center" vertical="center" wrapText="1"/>
    </xf>
    <xf fontId="4" fillId="0" borderId="0" numFmtId="3" xfId="0" applyNumberFormat="1" applyFont="1" applyAlignment="1">
      <alignment horizontal="center"/>
    </xf>
    <xf fontId="4" fillId="0" borderId="20" numFmtId="3" xfId="0" applyNumberFormat="1" applyFont="1" applyBorder="1" applyAlignment="1">
      <alignment horizontal="center"/>
    </xf>
    <xf fontId="1" fillId="0" borderId="5" numFmtId="0" xfId="0" applyFont="1" applyBorder="1" applyAlignment="1">
      <alignment vertical="center"/>
    </xf>
    <xf fontId="4" fillId="0" borderId="24" numFmtId="0" xfId="0" applyFont="1" applyBorder="1" applyAlignment="1">
      <alignment horizontal="center" vertical="center"/>
    </xf>
    <xf fontId="1" fillId="0" borderId="25" numFmtId="0" xfId="0" applyFont="1" applyBorder="1" applyAlignment="1">
      <alignment horizontal="center" vertical="center" wrapText="1"/>
    </xf>
    <xf fontId="4" fillId="0" borderId="25" numFmtId="0" xfId="0" applyFont="1" applyBorder="1" applyAlignment="1">
      <alignment horizontal="center" vertical="center" wrapText="1"/>
    </xf>
    <xf fontId="1" fillId="0" borderId="26" numFmtId="0" xfId="0" applyFont="1" applyBorder="1" applyAlignment="1">
      <alignment horizontal="center" vertical="center" wrapText="1"/>
    </xf>
    <xf fontId="1" fillId="3" borderId="27" numFmtId="14" xfId="0" applyNumberFormat="1" applyFont="1" applyFill="1" applyBorder="1" applyProtection="1">
      <protection locked="0"/>
    </xf>
    <xf fontId="1" fillId="3" borderId="27" numFmtId="164" xfId="1" applyNumberFormat="1" applyFont="1" applyFill="1" applyBorder="1" applyProtection="1">
      <protection locked="0"/>
    </xf>
    <xf fontId="1" fillId="0" borderId="27" numFmtId="165" xfId="0" applyNumberFormat="1" applyFont="1" applyBorder="1"/>
    <xf fontId="1" fillId="0" borderId="0" numFmtId="3" xfId="0" applyNumberFormat="1" applyFont="1" applyProtection="1">
      <protection locked="0"/>
    </xf>
    <xf fontId="4" fillId="0" borderId="28" numFmtId="0" xfId="0" applyFont="1" applyBorder="1" applyAlignment="1">
      <alignment horizontal="left"/>
    </xf>
    <xf fontId="4" fillId="0" borderId="19" numFmtId="0" xfId="0" applyFont="1" applyBorder="1" applyAlignment="1">
      <alignment horizontal="left"/>
    </xf>
    <xf fontId="1" fillId="4" borderId="27" numFmtId="4" xfId="0" applyNumberFormat="1" applyFont="1" applyFill="1" applyBorder="1" applyAlignment="1" applyProtection="1">
      <alignment horizontal="right"/>
      <protection locked="0"/>
    </xf>
    <xf fontId="1" fillId="3" borderId="27" numFmtId="4" xfId="0" applyNumberFormat="1" applyFont="1" applyFill="1" applyBorder="1" applyAlignment="1" applyProtection="1">
      <alignment horizontal="right"/>
      <protection locked="0"/>
    </xf>
    <xf fontId="1" fillId="0" borderId="27" numFmtId="0" xfId="0" applyFont="1" applyBorder="1" applyAlignment="1">
      <alignment horizontal="right"/>
    </xf>
    <xf fontId="1" fillId="3" borderId="29" numFmtId="0" xfId="0" applyFont="1" applyFill="1" applyBorder="1" applyAlignment="1" applyProtection="1">
      <alignment horizontal="left" wrapText="1"/>
      <protection locked="0"/>
    </xf>
    <xf fontId="4" fillId="0" borderId="5" numFmtId="0" xfId="0" applyFont="1" applyBorder="1" applyAlignment="1">
      <alignment horizontal="left"/>
    </xf>
    <xf fontId="4" fillId="0" borderId="20" numFmtId="0" xfId="0" applyFont="1" applyBorder="1" applyAlignment="1">
      <alignment horizontal="left"/>
    </xf>
    <xf fontId="1" fillId="0" borderId="27" numFmtId="9" xfId="3" applyNumberFormat="1" applyFont="1" applyBorder="1" applyAlignment="1" applyProtection="1">
      <alignment horizontal="right"/>
    </xf>
    <xf fontId="4" fillId="0" borderId="5" numFmtId="0" xfId="0" applyFont="1" applyBorder="1" applyAlignment="1">
      <alignment horizontal="left" wrapText="1"/>
    </xf>
    <xf fontId="4" fillId="0" borderId="20" numFmtId="0" xfId="0" applyFont="1" applyBorder="1" applyAlignment="1">
      <alignment horizontal="left" wrapText="1"/>
    </xf>
    <xf fontId="4" fillId="0" borderId="30" numFmtId="0" xfId="0" applyFont="1" applyBorder="1" applyAlignment="1">
      <alignment horizontal="left" wrapText="1"/>
    </xf>
    <xf fontId="4" fillId="0" borderId="24" numFmtId="0" xfId="0" applyFont="1" applyBorder="1" applyAlignment="1">
      <alignment horizontal="left" wrapText="1"/>
    </xf>
    <xf fontId="4" fillId="5" borderId="31" numFmtId="0" xfId="0" applyFont="1" applyFill="1" applyBorder="1" applyAlignment="1">
      <alignment horizontal="left"/>
    </xf>
    <xf fontId="4" fillId="5" borderId="32" numFmtId="0" xfId="0" applyFont="1" applyFill="1" applyBorder="1" applyAlignment="1">
      <alignment horizontal="left"/>
    </xf>
    <xf fontId="1" fillId="5" borderId="33" numFmtId="4" xfId="0" applyNumberFormat="1" applyFont="1" applyFill="1" applyBorder="1" applyAlignment="1">
      <alignment horizontal="right"/>
    </xf>
    <xf fontId="1" fillId="5" borderId="33" numFmtId="9" xfId="3" applyNumberFormat="1" applyFont="1" applyFill="1" applyBorder="1" applyAlignment="1" applyProtection="1">
      <alignment horizontal="right"/>
    </xf>
    <xf fontId="1" fillId="5" borderId="34" numFmtId="0" xfId="0" applyFont="1" applyFill="1" applyBorder="1" applyAlignment="1">
      <alignment horizontal="left" wrapText="1"/>
    </xf>
    <xf fontId="1" fillId="0" borderId="2" numFmtId="0" xfId="0" applyFont="1" applyBorder="1" applyAlignment="1" applyProtection="1">
      <alignment vertical="center"/>
      <protection locked="0"/>
    </xf>
    <xf fontId="1" fillId="0" borderId="0" numFmtId="0" xfId="0" applyFont="1" applyAlignment="1" applyProtection="1">
      <alignment vertical="center"/>
      <protection locked="0"/>
    </xf>
    <xf fontId="1" fillId="0" borderId="0" numFmtId="3" xfId="0" applyNumberFormat="1" applyFont="1" applyAlignment="1" applyProtection="1">
      <alignment vertical="center"/>
      <protection locked="0"/>
    </xf>
    <xf fontId="1" fillId="0" borderId="9" numFmtId="0" xfId="0" applyFont="1" applyBorder="1" applyAlignment="1" applyProtection="1">
      <alignment vertical="center"/>
      <protection locked="0"/>
    </xf>
    <xf fontId="4" fillId="0" borderId="2" numFmtId="0" xfId="0" applyFont="1" applyBorder="1" applyAlignment="1">
      <alignment vertical="center"/>
    </xf>
    <xf fontId="1" fillId="0" borderId="30" numFmtId="0" xfId="0" applyFont="1" applyBorder="1" applyAlignment="1">
      <alignment vertical="center"/>
    </xf>
    <xf fontId="1" fillId="0" borderId="11" numFmtId="0" xfId="0" applyFont="1" applyBorder="1" applyAlignment="1">
      <alignment vertical="center"/>
    </xf>
    <xf fontId="1" fillId="0" borderId="0" numFmtId="0" xfId="0" applyFont="1" applyAlignment="1" applyProtection="1">
      <alignment horizontal="left" vertical="center" wrapText="1"/>
      <protection locked="0"/>
    </xf>
    <xf fontId="4" fillId="0" borderId="35" numFmtId="49" xfId="0" applyNumberFormat="1" applyFont="1" applyBorder="1" applyAlignment="1">
      <alignment vertical="center"/>
    </xf>
    <xf fontId="4" fillId="0" borderId="27" numFmtId="0" xfId="0" applyFont="1" applyBorder="1" applyAlignment="1">
      <alignment vertical="center"/>
    </xf>
    <xf fontId="4" fillId="0" borderId="27" numFmtId="3" xfId="0" applyNumberFormat="1" applyFont="1" applyBorder="1" applyAlignment="1">
      <alignment horizontal="right" vertical="center" wrapText="1"/>
    </xf>
    <xf fontId="4" fillId="0" borderId="27" numFmtId="3" xfId="0" applyNumberFormat="1" applyFont="1" applyBorder="1" applyAlignment="1">
      <alignment horizontal="right" vertical="center"/>
    </xf>
    <xf fontId="4" fillId="0" borderId="27" numFmtId="9" xfId="0" applyNumberFormat="1" applyFont="1" applyBorder="1" applyAlignment="1">
      <alignment horizontal="right" vertical="center"/>
    </xf>
    <xf fontId="4" fillId="0" borderId="29" numFmtId="0" xfId="0" applyFont="1" applyBorder="1" applyAlignment="1">
      <alignment horizontal="left" vertical="center"/>
    </xf>
    <xf fontId="1" fillId="0" borderId="35" numFmtId="49" xfId="0" applyNumberFormat="1" applyFont="1" applyBorder="1" applyAlignment="1">
      <alignment vertical="center"/>
    </xf>
    <xf fontId="1" fillId="3" borderId="27" numFmtId="0" xfId="0" applyFont="1" applyFill="1" applyBorder="1" applyAlignment="1" applyProtection="1">
      <alignment horizontal="left" vertical="center" wrapText="1"/>
      <protection locked="0"/>
    </xf>
    <xf fontId="1" fillId="4" borderId="27" numFmtId="4" xfId="0" applyNumberFormat="1" applyFont="1" applyFill="1" applyBorder="1" applyAlignment="1" applyProtection="1">
      <alignment horizontal="right" vertical="center" wrapText="1"/>
      <protection locked="0"/>
    </xf>
    <xf fontId="1" fillId="3" borderId="27" numFmtId="4" xfId="0" applyNumberFormat="1" applyFont="1" applyFill="1" applyBorder="1" applyAlignment="1" applyProtection="1">
      <alignment horizontal="right" vertical="center" wrapText="1"/>
      <protection locked="0"/>
    </xf>
    <xf fontId="1" fillId="3" borderId="27" numFmtId="4" xfId="0" applyNumberFormat="1" applyFont="1" applyFill="1" applyBorder="1" applyAlignment="1" applyProtection="1">
      <alignment horizontal="right" vertical="center"/>
      <protection locked="0"/>
    </xf>
    <xf fontId="1" fillId="0" borderId="27" numFmtId="9" xfId="0" applyNumberFormat="1" applyFont="1" applyBorder="1" applyAlignment="1">
      <alignment horizontal="right" vertical="center"/>
    </xf>
    <xf fontId="1" fillId="3" borderId="29" numFmtId="0" xfId="0" applyFont="1" applyFill="1" applyBorder="1" applyAlignment="1" applyProtection="1">
      <alignment horizontal="left" vertical="center" wrapText="1"/>
      <protection locked="0"/>
    </xf>
    <xf fontId="1" fillId="3" borderId="27" numFmtId="0" xfId="0" applyFont="1" applyFill="1" applyBorder="1" applyAlignment="1" applyProtection="1">
      <alignment vertical="center" wrapText="1"/>
      <protection locked="0"/>
    </xf>
    <xf fontId="1" fillId="0" borderId="36" numFmtId="0" xfId="0" applyFont="1" applyBorder="1" applyAlignment="1">
      <alignment horizontal="right"/>
    </xf>
    <xf fontId="1" fillId="0" borderId="11" numFmtId="0" xfId="0" applyFont="1" applyBorder="1" applyAlignment="1">
      <alignment horizontal="left"/>
    </xf>
    <xf fontId="4" fillId="5" borderId="37" numFmtId="0" xfId="0" applyFont="1" applyFill="1" applyBorder="1" applyAlignment="1">
      <alignment horizontal="left" vertical="center"/>
    </xf>
    <xf fontId="4" fillId="5" borderId="38" numFmtId="0" xfId="0" applyFont="1" applyFill="1" applyBorder="1" applyAlignment="1">
      <alignment horizontal="left" vertical="center"/>
    </xf>
    <xf fontId="4" fillId="5" borderId="27" numFmtId="4" xfId="0" applyNumberFormat="1" applyFont="1" applyFill="1" applyBorder="1" applyAlignment="1">
      <alignment horizontal="right" vertical="center"/>
    </xf>
    <xf fontId="4" fillId="5" borderId="27" numFmtId="9" xfId="3" applyNumberFormat="1" applyFont="1" applyFill="1" applyBorder="1" applyAlignment="1">
      <alignment horizontal="right" vertical="center"/>
    </xf>
    <xf fontId="4" fillId="5" borderId="29" numFmtId="3" xfId="0" applyNumberFormat="1" applyFont="1" applyFill="1" applyBorder="1" applyAlignment="1">
      <alignment horizontal="left" vertical="center"/>
    </xf>
    <xf fontId="4" fillId="0" borderId="27" numFmtId="4" xfId="0" applyNumberFormat="1" applyFont="1" applyBorder="1" applyAlignment="1">
      <alignment horizontal="right" vertical="center"/>
    </xf>
    <xf fontId="4" fillId="0" borderId="29" numFmtId="3" xfId="0" applyNumberFormat="1" applyFont="1" applyBorder="1" applyAlignment="1">
      <alignment horizontal="left" vertical="center"/>
    </xf>
    <xf fontId="1" fillId="4" borderId="27" numFmtId="4" xfId="0" applyNumberFormat="1" applyFont="1" applyFill="1" applyBorder="1" applyAlignment="1" applyProtection="1">
      <alignment horizontal="right" vertical="center"/>
      <protection locked="0"/>
    </xf>
    <xf fontId="1" fillId="3" borderId="29" numFmtId="3" xfId="0" applyNumberFormat="1" applyFont="1" applyFill="1" applyBorder="1" applyAlignment="1" applyProtection="1">
      <alignment horizontal="left" vertical="center" wrapText="1"/>
      <protection locked="0"/>
    </xf>
    <xf fontId="4" fillId="5" borderId="27" numFmtId="9" xfId="0" applyNumberFormat="1" applyFont="1" applyFill="1" applyBorder="1" applyAlignment="1">
      <alignment horizontal="right" vertical="center"/>
    </xf>
    <xf fontId="4" fillId="0" borderId="0" numFmtId="3" xfId="0" applyNumberFormat="1" applyFont="1" applyProtection="1">
      <protection locked="0"/>
    </xf>
    <xf fontId="1" fillId="3" borderId="27" numFmtId="49" xfId="0" applyNumberFormat="1" applyFont="1" applyFill="1" applyBorder="1" applyAlignment="1" applyProtection="1">
      <alignment vertical="center" wrapText="1"/>
      <protection locked="0"/>
    </xf>
    <xf fontId="4" fillId="0" borderId="35" numFmtId="0" xfId="0" applyFont="1" applyBorder="1" applyAlignment="1">
      <alignment vertical="center"/>
    </xf>
    <xf fontId="4" fillId="4" borderId="27" numFmtId="4" xfId="0" applyNumberFormat="1" applyFont="1" applyFill="1" applyBorder="1" applyAlignment="1" applyProtection="1">
      <alignment horizontal="right" vertical="center"/>
      <protection locked="0"/>
    </xf>
    <xf fontId="4" fillId="3" borderId="27" numFmtId="4" xfId="0" applyNumberFormat="1" applyFont="1" applyFill="1" applyBorder="1" applyAlignment="1" applyProtection="1">
      <alignment horizontal="right" vertical="center"/>
      <protection locked="0"/>
    </xf>
    <xf fontId="4" fillId="3" borderId="29" numFmtId="3" xfId="0" applyNumberFormat="1" applyFont="1" applyFill="1" applyBorder="1" applyAlignment="1" applyProtection="1">
      <alignment horizontal="left" vertical="center" wrapText="1"/>
      <protection locked="0"/>
    </xf>
    <xf fontId="6" fillId="0" borderId="27" numFmtId="0" xfId="0" applyFont="1" applyBorder="1" applyAlignment="1">
      <alignment vertical="center"/>
    </xf>
    <xf fontId="6" fillId="4" borderId="27" numFmtId="4" xfId="0" applyNumberFormat="1" applyFont="1" applyFill="1" applyBorder="1" applyAlignment="1" applyProtection="1">
      <alignment horizontal="right" vertical="center"/>
      <protection locked="0"/>
    </xf>
    <xf fontId="6" fillId="3" borderId="27" numFmtId="4" xfId="0" applyNumberFormat="1" applyFont="1" applyFill="1" applyBorder="1" applyAlignment="1" applyProtection="1">
      <alignment horizontal="right" vertical="center"/>
      <protection locked="0"/>
    </xf>
    <xf fontId="6" fillId="0" borderId="27" numFmtId="9" xfId="0" applyNumberFormat="1" applyFont="1" applyBorder="1" applyAlignment="1">
      <alignment horizontal="right" vertical="center"/>
    </xf>
    <xf fontId="6" fillId="3" borderId="29" numFmtId="3" xfId="0" applyNumberFormat="1" applyFont="1" applyFill="1" applyBorder="1" applyAlignment="1" applyProtection="1">
      <alignment horizontal="left" vertical="center" wrapText="1"/>
      <protection locked="0"/>
    </xf>
    <xf fontId="4" fillId="5" borderId="31" numFmtId="0" xfId="0" applyFont="1" applyFill="1" applyBorder="1" applyAlignment="1">
      <alignment horizontal="left" vertical="center"/>
    </xf>
    <xf fontId="4" fillId="5" borderId="32" numFmtId="0" xfId="0" applyFont="1" applyFill="1" applyBorder="1" applyAlignment="1">
      <alignment horizontal="left" vertical="center"/>
    </xf>
    <xf fontId="4" fillId="5" borderId="33" numFmtId="4" xfId="0" applyNumberFormat="1" applyFont="1" applyFill="1" applyBorder="1" applyAlignment="1">
      <alignment horizontal="right" vertical="center"/>
    </xf>
    <xf fontId="4" fillId="5" borderId="33" numFmtId="9" xfId="0" applyNumberFormat="1" applyFont="1" applyFill="1" applyBorder="1" applyAlignment="1">
      <alignment horizontal="right" vertical="center"/>
    </xf>
    <xf fontId="4" fillId="5" borderId="39" numFmtId="3" xfId="0" applyNumberFormat="1" applyFont="1" applyFill="1" applyBorder="1" applyAlignment="1">
      <alignment vertical="center"/>
    </xf>
    <xf fontId="1" fillId="0" borderId="0" numFmtId="0" xfId="0" applyFont="1" applyAlignment="1" applyProtection="1">
      <alignment horizontal="center"/>
      <protection locked="0"/>
    </xf>
    <xf fontId="1" fillId="0" borderId="1" numFmtId="0" xfId="0" applyFont="1" applyBorder="1"/>
    <xf fontId="4" fillId="0" borderId="2" numFmtId="0" xfId="0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 wrapText="1"/>
    </xf>
    <xf fontId="4" fillId="0" borderId="16" numFmtId="0" xfId="0" applyFont="1" applyBorder="1" applyAlignment="1">
      <alignment horizontal="center" vertical="center" wrapText="1"/>
    </xf>
    <xf fontId="4" fillId="0" borderId="5" numFmtId="0" xfId="0" applyFont="1" applyBorder="1" applyAlignment="1">
      <alignment horizontal="center"/>
    </xf>
    <xf fontId="4" fillId="0" borderId="0" numFmtId="0" xfId="0" applyFont="1" applyAlignment="1">
      <alignment horizontal="center"/>
    </xf>
    <xf fontId="4" fillId="0" borderId="20" numFmtId="0" xfId="0" applyFont="1" applyBorder="1" applyAlignment="1">
      <alignment horizontal="center"/>
    </xf>
    <xf fontId="4" fillId="0" borderId="22" numFmtId="0" xfId="0" applyFont="1" applyBorder="1" applyAlignment="1">
      <alignment horizontal="center" vertical="center" wrapText="1"/>
    </xf>
    <xf fontId="1" fillId="0" borderId="5" numFmtId="0" xfId="0" applyFont="1" applyBorder="1"/>
    <xf fontId="4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 vertical="center" wrapText="1"/>
    </xf>
    <xf fontId="4" fillId="0" borderId="11" numFmtId="0" xfId="0" applyFont="1" applyBorder="1" applyAlignment="1">
      <alignment horizontal="center"/>
    </xf>
    <xf fontId="1" fillId="0" borderId="11" numFmtId="0" xfId="0" applyFont="1" applyBorder="1" applyAlignment="1">
      <alignment horizontal="center" vertical="center" wrapText="1"/>
    </xf>
    <xf fontId="4" fillId="0" borderId="37" numFmtId="0" xfId="0" applyFont="1" applyBorder="1"/>
    <xf fontId="4" fillId="0" borderId="13" numFmtId="0" xfId="0" applyFont="1" applyBorder="1"/>
    <xf fontId="1" fillId="0" borderId="13" numFmtId="3" xfId="0" applyNumberFormat="1" applyFont="1" applyBorder="1" applyAlignment="1">
      <alignment horizontal="center"/>
    </xf>
    <xf fontId="1" fillId="0" borderId="40" numFmtId="4" xfId="0" applyNumberFormat="1" applyFont="1" applyBorder="1"/>
    <xf fontId="7" fillId="0" borderId="0" numFmtId="0" xfId="0" applyFont="1" applyProtection="1">
      <protection locked="0"/>
    </xf>
    <xf fontId="8" fillId="0" borderId="6" numFmtId="0" xfId="0" applyFont="1" applyBorder="1" applyAlignment="1">
      <alignment horizontal="center"/>
    </xf>
    <xf fontId="4" fillId="0" borderId="30" numFmtId="0" xfId="0" applyFont="1" applyBorder="1"/>
    <xf fontId="4" fillId="0" borderId="11" numFmtId="0" xfId="0" applyFont="1" applyBorder="1"/>
    <xf fontId="1" fillId="0" borderId="37" numFmtId="0" xfId="0" applyFont="1" applyBorder="1"/>
    <xf fontId="1" fillId="0" borderId="13" numFmtId="49" xfId="0" applyNumberFormat="1" applyFont="1" applyBorder="1"/>
    <xf fontId="1" fillId="3" borderId="29" numFmtId="4" xfId="0" applyNumberFormat="1" applyFont="1" applyFill="1" applyBorder="1" applyProtection="1">
      <protection locked="0"/>
    </xf>
    <xf fontId="1" fillId="0" borderId="0" numFmtId="49" xfId="0" applyNumberFormat="1" applyFont="1" applyAlignment="1" applyProtection="1">
      <alignment horizontal="left"/>
      <protection locked="0"/>
    </xf>
    <xf fontId="1" fillId="0" borderId="31" numFmtId="0" xfId="0" applyFont="1" applyBorder="1"/>
    <xf fontId="1" fillId="0" borderId="41" numFmtId="0" xfId="0" applyFont="1" applyBorder="1"/>
    <xf fontId="1" fillId="0" borderId="41" numFmtId="49" xfId="0" applyNumberFormat="1" applyFont="1" applyBorder="1"/>
    <xf fontId="1" fillId="3" borderId="39" numFmtId="4" xfId="0" applyNumberFormat="1" applyFont="1" applyFill="1" applyBorder="1" applyProtection="1">
      <protection locked="0"/>
    </xf>
    <xf fontId="1" fillId="0" borderId="11" numFmtId="0" xfId="0" applyFont="1" applyBorder="1" applyAlignment="1" applyProtection="1">
      <alignment horizontal="left"/>
      <protection locked="0"/>
    </xf>
    <xf fontId="1" fillId="0" borderId="11" numFmtId="0" xfId="0" applyFont="1" applyBorder="1" applyProtection="1">
      <protection locked="0"/>
    </xf>
    <xf fontId="7" fillId="0" borderId="0" numFmtId="0" xfId="0" applyFont="1"/>
    <xf fontId="9" fillId="0" borderId="0" numFmtId="0" xfId="0" applyFont="1" applyAlignment="1">
      <alignment horizontal="left" vertical="top" wrapText="1"/>
    </xf>
    <xf fontId="10" fillId="6" borderId="0" numFmtId="0" xfId="0" applyFont="1" applyFill="1" applyAlignment="1">
      <alignment horizontal="left" vertical="top" wrapText="1"/>
    </xf>
    <xf fontId="9" fillId="6" borderId="0" numFmtId="0" xfId="0" applyFont="1" applyFill="1" applyAlignment="1">
      <alignment horizontal="left" vertical="top" wrapText="1"/>
    </xf>
    <xf fontId="1" fillId="0" borderId="0" numFmtId="0" xfId="0" applyFont="1" applyAlignment="1">
      <alignment horizontal="left" vertical="top" wrapText="1"/>
    </xf>
    <xf fontId="9" fillId="0" borderId="0" numFmtId="0" xfId="0" applyFont="1" applyAlignment="1">
      <alignment vertical="top" wrapText="1"/>
    </xf>
    <xf fontId="9" fillId="0" borderId="0" numFmtId="49" xfId="0" applyNumberFormat="1" applyFont="1" applyAlignment="1">
      <alignment vertical="top" wrapText="1"/>
    </xf>
    <xf fontId="10" fillId="0" borderId="0" numFmtId="0" xfId="0" applyFont="1" applyAlignment="1">
      <alignment horizontal="left" vertical="top" wrapText="1"/>
    </xf>
    <xf fontId="4" fillId="6" borderId="0" numFmtId="0" xfId="8" applyFont="1" applyFill="1" applyAlignment="1">
      <alignment wrapText="1"/>
    </xf>
    <xf fontId="10" fillId="6" borderId="0" numFmtId="0" xfId="8" applyFont="1" applyFill="1" applyAlignment="1">
      <alignment wrapText="1"/>
    </xf>
  </cellXfs>
  <cellStyles count="9">
    <cellStyle name="Komma" xfId="1" builtinId="3"/>
    <cellStyle name="Link" xfId="2" builtinId="8"/>
    <cellStyle name="Prozent" xfId="3" builtinId="5"/>
    <cellStyle name="Prozent 2" xfId="4"/>
    <cellStyle name="Prozent 2 2" xfId="5"/>
    <cellStyle name="Standard" xfId="0" builtinId="0"/>
    <cellStyle name="Standard 2" xfId="6"/>
    <cellStyle name="Standard 2 2" xfId="7"/>
    <cellStyle name="Standard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5</xdr:col>
      <xdr:colOff>466725</xdr:colOff>
      <xdr:row>0</xdr:row>
      <xdr:rowOff>0</xdr:rowOff>
    </xdr:from>
    <xdr:to>
      <xdr:col>8</xdr:col>
      <xdr:colOff>41910</xdr:colOff>
      <xdr:row>4</xdr:row>
      <xdr:rowOff>103361</xdr:rowOff>
    </xdr:to>
    <xdr:pic>
      <xdr:nvPicPr>
        <xdr:cNvPr id="2" name="Grafik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7296151" y="0"/>
          <a:ext cx="2853689" cy="755319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Tabelle1">
    <outlinePr applyStyles="0" summaryBelow="1" summaryRight="1" showOutlineSymbols="1"/>
    <pageSetUpPr autoPageBreaks="1" fitToPage="0"/>
  </sheetPr>
  <sheetViews>
    <sheetView showGridLines="0" topLeftCell="A1" zoomScale="85" workbookViewId="0">
      <pane ySplit="9" topLeftCell="A10" activePane="bottomLeft" state="frozen"/>
      <selection activeCell="E2" activeCellId="0" sqref="E2"/>
    </sheetView>
  </sheetViews>
  <sheetFormatPr baseColWidth="10" defaultColWidth="10.85546875" defaultRowHeight="15" outlineLevelRow="1"/>
  <cols>
    <col customWidth="1" min="1" max="1" style="1" width="3.28515625"/>
    <col customWidth="1" min="2" max="2" style="1" width="4.5703125"/>
    <col customWidth="1" min="3" max="3" style="1" width="55.85546875"/>
    <col customWidth="1" min="4" max="4" style="1" width="20"/>
    <col customWidth="1" min="5" max="5" style="1" width="18.5703125"/>
    <col customWidth="1" min="6" max="6" style="1" width="18.7109375"/>
    <col customWidth="1" min="7" max="7" style="1" width="11.7109375"/>
    <col customWidth="1" min="8" max="8" style="1" width="18.7109375"/>
    <col customWidth="1" min="9" max="10" style="1" width="4"/>
    <col customWidth="1" min="11" max="11" style="1" width="19.140625"/>
    <col min="12" max="13" style="1" width="10.85546875"/>
    <col customWidth="1" min="14" max="14" style="1" width="15"/>
    <col customWidth="1" min="15" max="15" style="1" width="10"/>
    <col customWidth="1" min="16" max="16" style="1" width="5"/>
    <col customWidth="1" hidden="1" min="17" max="17" style="1" width="4"/>
    <col customWidth="1" hidden="1" min="18" max="18" style="1" width="19.140625"/>
    <col customWidth="1" hidden="1" min="19" max="20" style="1" width="10.85546875"/>
    <col customWidth="1" hidden="1" min="21" max="21" style="1" width="15"/>
    <col customWidth="1" hidden="1" min="22" max="22" style="1" width="10"/>
    <col customWidth="1" min="23" max="23" style="1" width="4"/>
    <col customWidth="1" min="24" max="24" style="1" width="36.7109375"/>
    <col min="25" max="16384" style="1" width="10.85546875"/>
  </cols>
  <sheetData>
    <row r="1">
      <c r="B1" s="2" t="str">
        <f>IF($E$2="","",VLOOKUP($E$2,Sprachversionen!$B:$BN,2,FALSE))</f>
        <v xml:space="preserve">F I N A N Z B E R I C H T</v>
      </c>
      <c r="C1" s="2"/>
      <c r="I1" s="3"/>
      <c r="J1" s="4" t="str">
        <f>VLOOKUP($E$2,Sprachversionen!$B:$BN,60,FALSE)</f>
        <v>Tipp:</v>
      </c>
      <c r="K1" s="5"/>
      <c r="L1" s="5"/>
      <c r="M1" s="5"/>
      <c r="N1" s="5"/>
      <c r="O1" s="6"/>
      <c r="Q1" s="3"/>
      <c r="W1" s="3"/>
    </row>
    <row r="2">
      <c r="B2" s="7"/>
      <c r="C2" s="7"/>
      <c r="D2" s="8" t="str">
        <f>IF($E$2="","Chose your language",VLOOKUP($E$2,Sprachversionen!$B:$BN,27,FALSE))</f>
        <v>Sprache</v>
      </c>
      <c r="E2" s="9" t="s">
        <v>0</v>
      </c>
      <c r="J2" s="10" t="str">
        <f>VLOOKUP($E$2,Sprachversionen!$B:$BN,61,FALSE)</f>
        <v xml:space="preserve">Bitte nutzen Sie zum ausfüllen des Finanzberichts unsere Ausfüllhilfe auf unserer Webseite:</v>
      </c>
      <c r="K2" s="11"/>
      <c r="L2" s="11"/>
      <c r="M2" s="11"/>
      <c r="N2" s="11"/>
      <c r="O2" s="12"/>
      <c r="P2" s="3"/>
      <c r="Q2" s="3"/>
      <c r="R2" s="3"/>
    </row>
    <row r="3" ht="12.75" customHeight="1">
      <c r="B3" s="2" t="str">
        <f>IF($E$2="","",VLOOKUP($E$2,Sprachversionen!$B:$BN,3,FALSE))</f>
        <v xml:space="preserve">ÜBERSICHT ÜBER EINNAHMEN UND AUSGABEN</v>
      </c>
      <c r="C3" s="2"/>
      <c r="D3" s="8" t="str">
        <f>VLOOKUP($E$2,Sprachversionen!$B:$BN,28,FALSE)</f>
        <v>Lokalwährung</v>
      </c>
      <c r="E3" s="13"/>
      <c r="J3" s="10"/>
      <c r="K3" s="11"/>
      <c r="L3" s="11"/>
      <c r="M3" s="11"/>
      <c r="N3" s="11"/>
      <c r="O3" s="12"/>
      <c r="P3" s="14"/>
      <c r="Q3" s="14"/>
      <c r="R3" s="14"/>
    </row>
    <row r="4" ht="12" customHeight="1">
      <c r="B4" s="15"/>
      <c r="C4" s="15"/>
      <c r="J4" s="16" t="str">
        <f>HYPERLINK(VLOOKUP($E$2,Sprachversionen!$B:$BN,62,FALSE))</f>
        <v>https://www.kindermissionswerk.org/fuer-partner/service</v>
      </c>
      <c r="K4" s="17"/>
      <c r="L4" s="17"/>
      <c r="M4" s="17"/>
      <c r="N4" s="17"/>
      <c r="O4" s="18"/>
      <c r="P4" s="14"/>
      <c r="Q4" s="14"/>
      <c r="R4" s="14"/>
    </row>
    <row r="5">
      <c r="B5" s="15" t="str">
        <f>IF($E$2="","",VLOOKUP($E$2,Sprachversionen!$B:$BN,4,FALSE))</f>
        <v>Projektnummer</v>
      </c>
      <c r="C5" s="15"/>
      <c r="D5" s="19"/>
      <c r="J5" s="20"/>
    </row>
    <row r="6">
      <c r="B6" s="21" t="str">
        <f>IF($E$2="","",VLOOKUP($E$2,Sprachversionen!$B:$BN,26,FALSE))</f>
        <v>Projekttitel</v>
      </c>
      <c r="C6" s="21"/>
      <c r="D6" s="22"/>
      <c r="E6" s="22"/>
      <c r="F6" s="22"/>
      <c r="G6" s="22"/>
      <c r="H6" s="22"/>
    </row>
    <row r="7">
      <c r="B7" s="21"/>
      <c r="C7" s="21"/>
      <c r="D7" s="23"/>
      <c r="E7" s="23"/>
      <c r="F7" s="23"/>
      <c r="G7" s="23"/>
      <c r="H7" s="23"/>
      <c r="J7" s="24"/>
    </row>
    <row r="8">
      <c r="B8" s="21" t="str">
        <f>IF($E$2="","",VLOOKUP($E$2,Sprachversionen!$B:$BN,5,FALSE))</f>
        <v>Projektlaufzeit</v>
      </c>
      <c r="C8" s="21"/>
      <c r="D8" s="25" t="str">
        <f>IF($E$2="","",VLOOKUP($E$2,Sprachversionen!$B:$BN,7,FALSE))</f>
        <v xml:space="preserve">von (TT MM JJJJ):</v>
      </c>
      <c r="E8" s="26"/>
      <c r="F8" s="25" t="str">
        <f>IF($E$2="","",VLOOKUP($E$2,Sprachversionen!$B:$BN,8,FALSE))</f>
        <v xml:space="preserve">bis (TT MM JJJJ):</v>
      </c>
      <c r="G8" s="26"/>
      <c r="H8" s="27"/>
      <c r="J8" s="28"/>
      <c r="K8" s="1" t="str">
        <f>VLOOKUP($E$2,Sprachversionen!$B:$BN,59,FALSE)</f>
        <v xml:space="preserve">Ausfüllbare Felder sind in den Farben links</v>
      </c>
    </row>
    <row r="9">
      <c r="B9" s="21" t="str">
        <f>IF($E$2="","",VLOOKUP($E$2,Sprachversionen!$B:$BN,6,FALSE))</f>
        <v xml:space="preserve">Aktueller Berichtszeitraum</v>
      </c>
      <c r="C9" s="21"/>
      <c r="D9" s="25" t="str">
        <f>D8</f>
        <v xml:space="preserve">von (TT MM JJJJ):</v>
      </c>
      <c r="E9" s="26"/>
      <c r="F9" s="25" t="str">
        <f>F8</f>
        <v xml:space="preserve">bis (TT MM JJJJ):</v>
      </c>
      <c r="G9" s="26"/>
      <c r="H9" s="26"/>
      <c r="J9" s="29"/>
    </row>
    <row r="10" ht="13.5"/>
    <row r="11" ht="12.6" customHeight="1">
      <c r="B11" s="30"/>
      <c r="C11" s="31"/>
      <c r="D11" s="32" t="str">
        <f>IF($E$2="","",VLOOKUP($E$2,Sprachversionen!$B:$BN,11,FALSE))</f>
        <v xml:space="preserve">Bewilligtes Budget</v>
      </c>
      <c r="E11" s="33" t="str">
        <f>IF($E$2="","",VLOOKUP($E$2,Sprachversionen!$B:$BN,12,FALSE))</f>
        <v xml:space="preserve">Einnahmen im Berichtszeitraum</v>
      </c>
      <c r="F11" s="32" t="str">
        <f>IF($E$2="","",VLOOKUP($E$2,Sprachversionen!$B:$BN,13,FALSE))</f>
        <v xml:space="preserve">Einnahmen der gesamten Projektlaufzeit</v>
      </c>
      <c r="G11" s="32" t="str">
        <f>IF($E$2="","",VLOOKUP($E$2,Sprachversionen!$B:$BN,14,FALSE))</f>
        <v xml:space="preserve">% erhaltene Einnahmen</v>
      </c>
      <c r="H11" s="34" t="str">
        <f>IF($E$2="","",VLOOKUP($E$2,Sprachversionen!$B:$BN,15,FALSE))</f>
        <v xml:space="preserve">Begründung der Budgetüber- oder unterschreitung</v>
      </c>
      <c r="J11" s="35" t="str">
        <f>B18</f>
        <v xml:space="preserve">KMW Mittel*</v>
      </c>
      <c r="K11" s="36"/>
      <c r="L11" s="37"/>
      <c r="M11" s="37"/>
      <c r="N11" s="37"/>
      <c r="O11" s="38"/>
      <c r="Q11" s="35" t="str">
        <f>B18</f>
        <v xml:space="preserve">KMW Mittel*</v>
      </c>
      <c r="R11" s="36"/>
      <c r="S11" s="37"/>
      <c r="T11" s="37"/>
      <c r="U11" s="37"/>
      <c r="V11" s="38"/>
      <c r="W11" s="3"/>
      <c r="X11" s="3"/>
      <c r="Y11" s="3"/>
      <c r="Z11" s="3"/>
      <c r="AA11" s="8"/>
      <c r="AB11" s="8"/>
    </row>
    <row r="12" ht="12.6" customHeight="1">
      <c r="B12" s="39" t="str">
        <f>IF($E$2="","",VLOOKUP($E$2,Sprachversionen!$B:$BN,9,FALSE))</f>
        <v>EINNAHMEN</v>
      </c>
      <c r="C12" s="40"/>
      <c r="D12" s="41"/>
      <c r="E12" s="42"/>
      <c r="F12" s="41"/>
      <c r="G12" s="41"/>
      <c r="H12" s="43"/>
      <c r="J12" s="44"/>
      <c r="K12" s="8"/>
      <c r="L12" s="8"/>
      <c r="M12" s="8"/>
      <c r="N12" s="8"/>
      <c r="O12" s="45"/>
      <c r="Q12" s="44"/>
      <c r="R12" s="8"/>
      <c r="S12" s="8"/>
      <c r="T12" s="8"/>
      <c r="U12" s="8"/>
      <c r="V12" s="45"/>
      <c r="W12" s="3"/>
      <c r="X12" s="3"/>
      <c r="Y12" s="3"/>
      <c r="Z12" s="3"/>
      <c r="AA12" s="8"/>
      <c r="AB12" s="8"/>
    </row>
    <row r="13" ht="12.6" customHeight="1">
      <c r="B13" s="46" t="str">
        <f>IF($E$2="","",VLOOKUP($E$2,Sprachversionen!$B:$BN,10,FALSE))</f>
        <v xml:space="preserve">(in lokaler Währung)</v>
      </c>
      <c r="C13" s="47"/>
      <c r="D13" s="41"/>
      <c r="E13" s="42"/>
      <c r="F13" s="41"/>
      <c r="G13" s="41"/>
      <c r="H13" s="43"/>
      <c r="J13" s="44"/>
      <c r="K13" s="8"/>
      <c r="L13" s="48" t="str">
        <f>IF($E$2="","",VLOOKUP($E$2,Sprachversionen!$B:$BN,22,FALSE))</f>
        <v>Datum</v>
      </c>
      <c r="M13" s="48" t="s">
        <v>1</v>
      </c>
      <c r="N13" s="48" t="str">
        <f>IF(E3="",VLOOKUP($E$2,Sprachversionen!$B:$BN,28,FALSE),E3)</f>
        <v>Lokalwährung</v>
      </c>
      <c r="O13" s="49" t="str">
        <f>VLOOKUP($E$2,Sprachversionen!$B:$BN,58,FALSE)</f>
        <v>WK</v>
      </c>
      <c r="Q13" s="44"/>
      <c r="R13" s="8"/>
      <c r="S13" s="48" t="str">
        <f>IF($E$2="","",VLOOKUP($E$2,Sprachversionen!$B:$BN,22,FALSE))</f>
        <v>Datum</v>
      </c>
      <c r="T13" s="48" t="s">
        <v>1</v>
      </c>
      <c r="U13" s="48" t="str">
        <f>IF(E3="",VLOOKUP($E$2,Sprachversionen!$B:$BN,28,FALSE),E3)</f>
        <v>Lokalwährung</v>
      </c>
      <c r="V13" s="49" t="str">
        <f>VLOOKUP($E$2,Sprachversionen!$B:$BN,58,FALSE)</f>
        <v>WK</v>
      </c>
      <c r="W13" s="3"/>
      <c r="X13" s="3"/>
      <c r="Y13" s="3"/>
      <c r="Z13" s="3"/>
      <c r="AA13" s="48"/>
      <c r="AB13" s="48"/>
    </row>
    <row r="14">
      <c r="B14" s="50"/>
      <c r="C14" s="51"/>
      <c r="D14" s="52"/>
      <c r="E14" s="53"/>
      <c r="F14" s="52"/>
      <c r="G14" s="52"/>
      <c r="H14" s="54"/>
      <c r="J14" s="44" t="str">
        <f t="shared" ref="J14:J31" si="0">ROW()-ROW($A$14) +1 &amp; ". "</f>
        <v xml:space="preserve">1. </v>
      </c>
      <c r="K14" s="15" t="str">
        <f>IF($E$2="","",VLOOKUP($E$2,Sprachversionen!$B:$BN,23,FALSE))</f>
        <v>Rate</v>
      </c>
      <c r="L14" s="55"/>
      <c r="M14" s="56"/>
      <c r="N14" s="56"/>
      <c r="O14" s="57" t="str">
        <f t="shared" ref="O14:O31" si="1">IFERROR(N14/M14,"")</f>
        <v/>
      </c>
      <c r="Q14" s="44" t="str">
        <f t="shared" ref="Q14:Q31" si="2">ROW()-ROW($A$14) +19 &amp; ". "</f>
        <v xml:space="preserve">19. </v>
      </c>
      <c r="R14" s="15" t="str">
        <f>IF($E$2="","",VLOOKUP($E$2,Sprachversionen!$B:$BN,23,FALSE))</f>
        <v>Rate</v>
      </c>
      <c r="S14" s="55"/>
      <c r="T14" s="56"/>
      <c r="U14" s="56"/>
      <c r="V14" s="57" t="str">
        <f t="shared" ref="V14:V31" si="3">IFERROR(U14/T14,"")</f>
        <v/>
      </c>
      <c r="W14" s="3"/>
      <c r="X14" s="3"/>
      <c r="Y14" s="3"/>
      <c r="Z14" s="3"/>
      <c r="AA14" s="58"/>
      <c r="AB14" s="58"/>
    </row>
    <row r="15" ht="12.75" customHeight="1">
      <c r="B15" s="59" t="str">
        <f>IF($E$2="","",VLOOKUP($E$2,Sprachversionen!$B:$BN,16,FALSE))</f>
        <v xml:space="preserve">Saldovortrag (aus vorherigem Berichtszeitraum)</v>
      </c>
      <c r="C15" s="60"/>
      <c r="D15" s="61"/>
      <c r="E15" s="62"/>
      <c r="F15" s="62"/>
      <c r="G15" s="63"/>
      <c r="H15" s="64"/>
      <c r="J15" s="44" t="str">
        <f t="shared" si="0"/>
        <v xml:space="preserve">2. </v>
      </c>
      <c r="K15" s="15" t="str">
        <f>IF($E$2="","",VLOOKUP($E$2,Sprachversionen!$B:$BN,23,FALSE))</f>
        <v>Rate</v>
      </c>
      <c r="L15" s="55"/>
      <c r="M15" s="56"/>
      <c r="N15" s="56"/>
      <c r="O15" s="57" t="str">
        <f t="shared" si="1"/>
        <v/>
      </c>
      <c r="Q15" s="44" t="str">
        <f t="shared" si="2"/>
        <v xml:space="preserve">20. </v>
      </c>
      <c r="R15" s="15" t="str">
        <f>IF($E$2="","",VLOOKUP($E$2,Sprachversionen!$B:$BN,23,FALSE))</f>
        <v>Rate</v>
      </c>
      <c r="S15" s="55"/>
      <c r="T15" s="56"/>
      <c r="U15" s="56"/>
      <c r="V15" s="57" t="str">
        <f t="shared" si="3"/>
        <v/>
      </c>
      <c r="W15" s="3"/>
      <c r="X15" s="3"/>
      <c r="Y15" s="3"/>
      <c r="Z15" s="3"/>
      <c r="AA15" s="58"/>
      <c r="AB15" s="58"/>
    </row>
    <row r="16" ht="12.75" customHeight="1">
      <c r="B16" s="65" t="str">
        <f>IF($E$2="","",VLOOKUP($E$2,Sprachversionen!$B:$BN,17,FALSE))</f>
        <v xml:space="preserve">Lokale Eigenleistung</v>
      </c>
      <c r="C16" s="66"/>
      <c r="D16" s="61">
        <v>0</v>
      </c>
      <c r="E16" s="62"/>
      <c r="F16" s="62"/>
      <c r="G16" s="67">
        <f t="array" ref="G16">IFERROR(INDEX($F$1:$F$1001, ROW()) / INDEX($D$1:$D$1001, ROW()), 0)</f>
        <v>0</v>
      </c>
      <c r="H16" s="64"/>
      <c r="J16" s="44" t="str">
        <f t="shared" si="0"/>
        <v xml:space="preserve">3. </v>
      </c>
      <c r="K16" s="15" t="str">
        <f>IF($E$2="","",VLOOKUP($E$2,Sprachversionen!$B:$BN,23,FALSE))</f>
        <v>Rate</v>
      </c>
      <c r="L16" s="55"/>
      <c r="M16" s="56"/>
      <c r="N16" s="56"/>
      <c r="O16" s="57" t="str">
        <f t="shared" si="1"/>
        <v/>
      </c>
      <c r="Q16" s="44" t="str">
        <f t="shared" si="2"/>
        <v xml:space="preserve">21. </v>
      </c>
      <c r="R16" s="15" t="str">
        <f>IF($E$2="","",VLOOKUP($E$2,Sprachversionen!$B:$BN,23,FALSE))</f>
        <v>Rate</v>
      </c>
      <c r="S16" s="55"/>
      <c r="T16" s="56"/>
      <c r="U16" s="56"/>
      <c r="V16" s="57" t="str">
        <f t="shared" si="3"/>
        <v/>
      </c>
      <c r="W16" s="3"/>
      <c r="X16" s="3"/>
      <c r="Y16" s="3"/>
      <c r="Z16" s="3"/>
      <c r="AA16" s="58"/>
      <c r="AB16" s="58"/>
    </row>
    <row r="17" ht="12.75" customHeight="1">
      <c r="B17" s="68" t="str">
        <f>IF($E$2="","",VLOOKUP($E$2,Sprachversionen!$B:$BN,18,FALSE))</f>
        <v xml:space="preserve">Beiträge von dritter Seite</v>
      </c>
      <c r="C17" s="69"/>
      <c r="D17" s="61">
        <v>0</v>
      </c>
      <c r="E17" s="62"/>
      <c r="F17" s="62"/>
      <c r="G17" s="67">
        <f t="array" ref="G17">IFERROR(INDEX($F$1:$F$1001, ROW()) / INDEX($D$1:$D$1001, ROW()), 0)</f>
        <v>0</v>
      </c>
      <c r="H17" s="64"/>
      <c r="J17" s="44" t="str">
        <f t="shared" si="0"/>
        <v xml:space="preserve">4. </v>
      </c>
      <c r="K17" s="15" t="str">
        <f>IF($E$2="","",VLOOKUP($E$2,Sprachversionen!$B:$BN,23,FALSE))</f>
        <v>Rate</v>
      </c>
      <c r="L17" s="55"/>
      <c r="M17" s="56"/>
      <c r="N17" s="56"/>
      <c r="O17" s="57" t="str">
        <f t="shared" si="1"/>
        <v/>
      </c>
      <c r="Q17" s="44" t="str">
        <f t="shared" si="2"/>
        <v xml:space="preserve">22. </v>
      </c>
      <c r="R17" s="15" t="str">
        <f>IF($E$2="","",VLOOKUP($E$2,Sprachversionen!$B:$BN,23,FALSE))</f>
        <v>Rate</v>
      </c>
      <c r="S17" s="55"/>
      <c r="T17" s="56"/>
      <c r="U17" s="56"/>
      <c r="V17" s="57" t="str">
        <f t="shared" si="3"/>
        <v/>
      </c>
      <c r="W17" s="3"/>
      <c r="X17" s="3"/>
      <c r="Y17" s="3"/>
      <c r="Z17" s="3"/>
      <c r="AA17" s="58"/>
      <c r="AB17" s="58"/>
    </row>
    <row r="18" ht="12.75" customHeight="1">
      <c r="B18" s="65" t="str">
        <f>IF($E$2="","",VLOOKUP($E$2,Sprachversionen!$B:$BN,19,FALSE))</f>
        <v xml:space="preserve">KMW Mittel*</v>
      </c>
      <c r="C18" s="66"/>
      <c r="D18" s="61">
        <v>0</v>
      </c>
      <c r="E18" s="62"/>
      <c r="F18" s="62"/>
      <c r="G18" s="67">
        <f t="array" ref="G18">IFERROR(INDEX($F$1:$F$1001, ROW()) / INDEX($D$1:$D$1001, ROW()), 0)</f>
        <v>0</v>
      </c>
      <c r="H18" s="64"/>
      <c r="J18" s="44" t="str">
        <f t="shared" si="0"/>
        <v xml:space="preserve">5. </v>
      </c>
      <c r="K18" s="15" t="str">
        <f>IF($E$2="","",VLOOKUP($E$2,Sprachversionen!$B:$BN,23,FALSE))</f>
        <v>Rate</v>
      </c>
      <c r="L18" s="55"/>
      <c r="M18" s="56"/>
      <c r="N18" s="56"/>
      <c r="O18" s="57" t="str">
        <f t="shared" si="1"/>
        <v/>
      </c>
      <c r="Q18" s="44" t="str">
        <f t="shared" si="2"/>
        <v xml:space="preserve">23. </v>
      </c>
      <c r="R18" s="15" t="str">
        <f>IF($E$2="","",VLOOKUP($E$2,Sprachversionen!$B:$BN,23,FALSE))</f>
        <v>Rate</v>
      </c>
      <c r="S18" s="55"/>
      <c r="T18" s="56"/>
      <c r="U18" s="56"/>
      <c r="V18" s="57" t="str">
        <f t="shared" si="3"/>
        <v/>
      </c>
      <c r="W18" s="3"/>
      <c r="X18" s="3"/>
      <c r="Y18" s="3"/>
      <c r="Z18" s="3"/>
      <c r="AA18" s="58"/>
      <c r="AB18" s="58"/>
    </row>
    <row r="19" ht="12.75" customHeight="1">
      <c r="B19" s="70" t="str">
        <f>IF($E$2="","",VLOOKUP($E$2,Sprachversionen!$B:$BN,20,FALSE))</f>
        <v>Zinserträge</v>
      </c>
      <c r="C19" s="71"/>
      <c r="D19" s="61">
        <v>0</v>
      </c>
      <c r="E19" s="62"/>
      <c r="F19" s="62"/>
      <c r="G19" s="67">
        <f t="array" ref="G19">IFERROR(INDEX($F$1:$F$1001, ROW()) / INDEX($D$1:$D$1001, ROW()), 0)</f>
        <v>0</v>
      </c>
      <c r="H19" s="64"/>
      <c r="J19" s="44" t="str">
        <f t="shared" si="0"/>
        <v xml:space="preserve">6. </v>
      </c>
      <c r="K19" s="15" t="str">
        <f>IF($E$2="","",VLOOKUP($E$2,Sprachversionen!$B:$BN,23,FALSE))</f>
        <v>Rate</v>
      </c>
      <c r="L19" s="55"/>
      <c r="M19" s="56"/>
      <c r="N19" s="56"/>
      <c r="O19" s="57" t="str">
        <f t="shared" si="1"/>
        <v/>
      </c>
      <c r="Q19" s="44" t="str">
        <f t="shared" si="2"/>
        <v xml:space="preserve">24. </v>
      </c>
      <c r="R19" s="15" t="str">
        <f>IF($E$2="","",VLOOKUP($E$2,Sprachversionen!$B:$BN,23,FALSE))</f>
        <v>Rate</v>
      </c>
      <c r="S19" s="55"/>
      <c r="T19" s="56"/>
      <c r="U19" s="56"/>
      <c r="V19" s="57" t="str">
        <f t="shared" si="3"/>
        <v/>
      </c>
      <c r="W19" s="3"/>
      <c r="X19" s="3"/>
      <c r="Y19" s="3"/>
      <c r="Z19" s="3"/>
      <c r="AA19" s="58"/>
      <c r="AB19" s="58"/>
    </row>
    <row r="20" ht="13.5">
      <c r="B20" s="72" t="str">
        <f>IF($E$2="","",VLOOKUP($E$2,Sprachversionen!$B:$BN,21,FALSE))</f>
        <v>GESAMT</v>
      </c>
      <c r="C20" s="73"/>
      <c r="D20" s="74">
        <f t="array" ref="D20">SUMPRODUCT(ROUND(D15:D19, 2))</f>
        <v>0</v>
      </c>
      <c r="E20" s="74">
        <f t="array" ref="E20">SUMPRODUCT(ROUND(E15:E19, 2))</f>
        <v>0</v>
      </c>
      <c r="F20" s="74">
        <f t="array" ref="F20">SUMPRODUCT(ROUND(F15:F19, 2))</f>
        <v>0</v>
      </c>
      <c r="G20" s="75">
        <f t="array" ref="G20">IFERROR(INDEX($F$1:$F$1001, ROW()) / INDEX($D$1:$D$1001, ROW()), 0)</f>
        <v>0</v>
      </c>
      <c r="H20" s="76"/>
      <c r="J20" s="44" t="str">
        <f t="shared" si="0"/>
        <v xml:space="preserve">7. </v>
      </c>
      <c r="K20" s="15" t="str">
        <f>IF($E$2="","",VLOOKUP($E$2,Sprachversionen!$B:$BN,23,FALSE))</f>
        <v>Rate</v>
      </c>
      <c r="L20" s="55"/>
      <c r="M20" s="56"/>
      <c r="N20" s="56"/>
      <c r="O20" s="57" t="str">
        <f t="shared" si="1"/>
        <v/>
      </c>
      <c r="Q20" s="44" t="str">
        <f t="shared" si="2"/>
        <v xml:space="preserve">25. </v>
      </c>
      <c r="R20" s="15" t="str">
        <f>IF($E$2="","",VLOOKUP($E$2,Sprachversionen!$B:$BN,23,FALSE))</f>
        <v>Rate</v>
      </c>
      <c r="S20" s="55"/>
      <c r="T20" s="56"/>
      <c r="U20" s="56"/>
      <c r="V20" s="57" t="str">
        <f t="shared" si="3"/>
        <v/>
      </c>
      <c r="AA20" s="58"/>
      <c r="AB20" s="58"/>
    </row>
    <row r="21">
      <c r="B21" s="77"/>
      <c r="C21" s="78"/>
      <c r="D21" s="79"/>
      <c r="E21" s="79"/>
      <c r="F21" s="79"/>
      <c r="G21" s="79"/>
      <c r="H21" s="79"/>
      <c r="I21" s="58"/>
      <c r="J21" s="44" t="str">
        <f t="shared" si="0"/>
        <v xml:space="preserve">8. </v>
      </c>
      <c r="K21" s="15" t="str">
        <f>IF($E$2="","",VLOOKUP($E$2,Sprachversionen!$B:$BN,23,FALSE))</f>
        <v>Rate</v>
      </c>
      <c r="L21" s="55"/>
      <c r="M21" s="56"/>
      <c r="N21" s="56"/>
      <c r="O21" s="57" t="str">
        <f t="shared" si="1"/>
        <v/>
      </c>
      <c r="Q21" s="44" t="str">
        <f t="shared" si="2"/>
        <v xml:space="preserve">26. </v>
      </c>
      <c r="R21" s="15" t="str">
        <f>IF($E$2="","",VLOOKUP($E$2,Sprachversionen!$B:$BN,23,FALSE))</f>
        <v>Rate</v>
      </c>
      <c r="S21" s="55"/>
      <c r="T21" s="56"/>
      <c r="U21" s="56"/>
      <c r="V21" s="57" t="str">
        <f t="shared" si="3"/>
        <v/>
      </c>
      <c r="AA21" s="58"/>
      <c r="AB21" s="58"/>
    </row>
    <row r="22" ht="13.5">
      <c r="B22" s="80"/>
      <c r="C22" s="78"/>
      <c r="D22" s="79"/>
      <c r="E22" s="79"/>
      <c r="F22" s="79"/>
      <c r="G22" s="78"/>
      <c r="H22" s="79"/>
      <c r="I22" s="58"/>
      <c r="J22" s="44" t="str">
        <f t="shared" si="0"/>
        <v xml:space="preserve">9. </v>
      </c>
      <c r="K22" s="15" t="str">
        <f>IF($E$2="","",VLOOKUP($E$2,Sprachversionen!$B:$BN,23,FALSE))</f>
        <v>Rate</v>
      </c>
      <c r="L22" s="55"/>
      <c r="M22" s="56"/>
      <c r="N22" s="56"/>
      <c r="O22" s="57" t="str">
        <f t="shared" si="1"/>
        <v/>
      </c>
      <c r="Q22" s="44" t="str">
        <f t="shared" si="2"/>
        <v xml:space="preserve">27. </v>
      </c>
      <c r="R22" s="15" t="str">
        <f>IF($E$2="","",VLOOKUP($E$2,Sprachversionen!$B:$BN,23,FALSE))</f>
        <v>Rate</v>
      </c>
      <c r="S22" s="55"/>
      <c r="T22" s="56"/>
      <c r="U22" s="56"/>
      <c r="V22" s="57" t="str">
        <f t="shared" si="3"/>
        <v/>
      </c>
      <c r="AA22" s="58"/>
      <c r="AB22" s="58"/>
    </row>
    <row r="23" ht="12.6" customHeight="1">
      <c r="B23" s="30"/>
      <c r="C23" s="81"/>
      <c r="D23" s="32" t="str">
        <f>D11</f>
        <v xml:space="preserve">Bewilligtes Budget</v>
      </c>
      <c r="E23" s="33" t="str">
        <f>IF($E$2="","",VLOOKUP($E$2,Sprachversionen!$B:$BN,25,FALSE))</f>
        <v xml:space="preserve">Ausgaben im Berichtszeitraum</v>
      </c>
      <c r="F23" s="32" t="str">
        <f>IF($E$2="","",VLOOKUP($E$2,Sprachversionen!$B:$BN,55,FALSE))</f>
        <v xml:space="preserve">Ausgaben der gesamten Projektlaufzeit</v>
      </c>
      <c r="G23" s="32" t="str">
        <f>IF($E$2="","",VLOOKUP($E$2,Sprachversionen!$B:$BN,56,FALSE))</f>
        <v xml:space="preserve">% verwendetes Budget</v>
      </c>
      <c r="H23" s="34" t="str">
        <f>H11</f>
        <v xml:space="preserve">Begründung der Budgetüber- oder unterschreitung</v>
      </c>
      <c r="J23" s="44" t="str">
        <f t="shared" si="0"/>
        <v xml:space="preserve">10. </v>
      </c>
      <c r="K23" s="15" t="str">
        <f>IF($E$2="","",VLOOKUP($E$2,Sprachversionen!$B:$BN,23,FALSE))</f>
        <v>Rate</v>
      </c>
      <c r="L23" s="55"/>
      <c r="M23" s="56"/>
      <c r="N23" s="56"/>
      <c r="O23" s="57" t="str">
        <f t="shared" si="1"/>
        <v/>
      </c>
      <c r="Q23" s="44" t="str">
        <f t="shared" si="2"/>
        <v xml:space="preserve">28. </v>
      </c>
      <c r="R23" s="15" t="str">
        <f>IF($E$2="","",VLOOKUP($E$2,Sprachversionen!$B:$BN,23,FALSE))</f>
        <v>Rate</v>
      </c>
      <c r="S23" s="55"/>
      <c r="T23" s="56"/>
      <c r="U23" s="56"/>
      <c r="V23" s="57" t="str">
        <f t="shared" si="3"/>
        <v/>
      </c>
      <c r="AA23" s="58"/>
      <c r="AB23" s="58"/>
    </row>
    <row r="24" ht="12.6" customHeight="1">
      <c r="B24" s="39" t="str">
        <f>IF($E$2="","",VLOOKUP($E$2,Sprachversionen!$B:$BN,24,FALSE))</f>
        <v>AUSGABEN</v>
      </c>
      <c r="C24" s="40"/>
      <c r="D24" s="41"/>
      <c r="E24" s="42"/>
      <c r="F24" s="41"/>
      <c r="G24" s="41"/>
      <c r="H24" s="43"/>
      <c r="J24" s="44" t="str">
        <f t="shared" si="0"/>
        <v xml:space="preserve">11. </v>
      </c>
      <c r="K24" s="15" t="str">
        <f>IF($E$2="","",VLOOKUP($E$2,Sprachversionen!$B:$BN,23,FALSE))</f>
        <v>Rate</v>
      </c>
      <c r="L24" s="55"/>
      <c r="M24" s="56"/>
      <c r="N24" s="56"/>
      <c r="O24" s="57" t="str">
        <f t="shared" si="1"/>
        <v/>
      </c>
      <c r="Q24" s="44" t="str">
        <f t="shared" si="2"/>
        <v xml:space="preserve">29. </v>
      </c>
      <c r="R24" s="15" t="str">
        <f>IF($E$2="","",VLOOKUP($E$2,Sprachversionen!$B:$BN,23,FALSE))</f>
        <v>Rate</v>
      </c>
      <c r="S24" s="55"/>
      <c r="T24" s="56"/>
      <c r="U24" s="56"/>
      <c r="V24" s="57" t="str">
        <f t="shared" si="3"/>
        <v/>
      </c>
      <c r="AA24" s="58"/>
      <c r="AB24" s="58"/>
    </row>
    <row r="25" ht="12.6" customHeight="1">
      <c r="B25" s="46" t="str">
        <f>B13</f>
        <v xml:space="preserve">(in lokaler Währung)</v>
      </c>
      <c r="C25" s="47"/>
      <c r="D25" s="41"/>
      <c r="E25" s="42"/>
      <c r="F25" s="41"/>
      <c r="G25" s="41"/>
      <c r="H25" s="43"/>
      <c r="J25" s="44" t="str">
        <f t="shared" si="0"/>
        <v xml:space="preserve">12. </v>
      </c>
      <c r="K25" s="15" t="str">
        <f>IF($E$2="","",VLOOKUP($E$2,Sprachversionen!$B:$BN,23,FALSE))</f>
        <v>Rate</v>
      </c>
      <c r="L25" s="55"/>
      <c r="M25" s="56"/>
      <c r="N25" s="56"/>
      <c r="O25" s="57" t="str">
        <f t="shared" si="1"/>
        <v/>
      </c>
      <c r="Q25" s="44" t="str">
        <f t="shared" si="2"/>
        <v xml:space="preserve">30. </v>
      </c>
      <c r="R25" s="15" t="str">
        <f>IF($E$2="","",VLOOKUP($E$2,Sprachversionen!$B:$BN,23,FALSE))</f>
        <v>Rate</v>
      </c>
      <c r="S25" s="55"/>
      <c r="T25" s="56"/>
      <c r="U25" s="56"/>
      <c r="V25" s="57" t="str">
        <f t="shared" si="3"/>
        <v/>
      </c>
      <c r="AA25" s="58"/>
      <c r="AB25" s="58"/>
    </row>
    <row r="26" ht="12.6" customHeight="1">
      <c r="B26" s="82"/>
      <c r="C26" s="83"/>
      <c r="D26" s="52"/>
      <c r="E26" s="53"/>
      <c r="F26" s="52"/>
      <c r="G26" s="52"/>
      <c r="H26" s="54"/>
      <c r="I26" s="84"/>
      <c r="J26" s="44" t="str">
        <f t="shared" si="0"/>
        <v xml:space="preserve">13. </v>
      </c>
      <c r="K26" s="15" t="str">
        <f>IF($E$2="","",VLOOKUP($E$2,Sprachversionen!$B:$BN,23,FALSE))</f>
        <v>Rate</v>
      </c>
      <c r="L26" s="55"/>
      <c r="M26" s="56"/>
      <c r="N26" s="56"/>
      <c r="O26" s="57" t="str">
        <f t="shared" si="1"/>
        <v/>
      </c>
      <c r="Q26" s="44" t="str">
        <f t="shared" si="2"/>
        <v xml:space="preserve">31. </v>
      </c>
      <c r="R26" s="15" t="str">
        <f>IF($E$2="","",VLOOKUP($E$2,Sprachversionen!$B:$BN,23,FALSE))</f>
        <v>Rate</v>
      </c>
      <c r="S26" s="55"/>
      <c r="T26" s="56"/>
      <c r="U26" s="56"/>
      <c r="V26" s="57" t="str">
        <f t="shared" si="3"/>
        <v/>
      </c>
      <c r="AA26" s="58"/>
      <c r="AB26" s="58"/>
    </row>
    <row r="27" s="3" customFormat="1">
      <c r="B27" s="85" t="s">
        <v>2</v>
      </c>
      <c r="C27" s="86" t="str">
        <f>IF($E$2="","",VLOOKUP($E$2,Sprachversionen!$B:$BN,29,FALSE))</f>
        <v>Bauausgaben</v>
      </c>
      <c r="D27" s="87"/>
      <c r="E27" s="87"/>
      <c r="F27" s="88"/>
      <c r="G27" s="89"/>
      <c r="H27" s="90"/>
      <c r="J27" s="44" t="str">
        <f t="shared" si="0"/>
        <v xml:space="preserve">14. </v>
      </c>
      <c r="K27" s="15" t="str">
        <f>IF($E$2="","",VLOOKUP($E$2,Sprachversionen!$B:$BN,23,FALSE))</f>
        <v>Rate</v>
      </c>
      <c r="L27" s="55"/>
      <c r="M27" s="56"/>
      <c r="N27" s="56"/>
      <c r="O27" s="57" t="str">
        <f t="shared" si="1"/>
        <v/>
      </c>
      <c r="Q27" s="44" t="str">
        <f t="shared" si="2"/>
        <v xml:space="preserve">32. </v>
      </c>
      <c r="R27" s="15" t="str">
        <f>IF($E$2="","",VLOOKUP($E$2,Sprachversionen!$B:$BN,23,FALSE))</f>
        <v>Rate</v>
      </c>
      <c r="S27" s="55"/>
      <c r="T27" s="56"/>
      <c r="U27" s="56"/>
      <c r="V27" s="57" t="str">
        <f t="shared" si="3"/>
        <v/>
      </c>
      <c r="AA27" s="58"/>
      <c r="AB27" s="58"/>
    </row>
    <row r="28" s="3" customFormat="1">
      <c r="B28" s="91" t="s">
        <v>3</v>
      </c>
      <c r="C28" s="92"/>
      <c r="D28" s="93"/>
      <c r="E28" s="94"/>
      <c r="F28" s="95"/>
      <c r="G28" s="96">
        <f t="array" ref="G28">IFERROR(INDEX($F$1:$F$1001, ROW()) / INDEX($D$1:$D$1001, ROW()), 0)</f>
        <v>0</v>
      </c>
      <c r="H28" s="97"/>
      <c r="J28" s="44" t="str">
        <f t="shared" si="0"/>
        <v xml:space="preserve">15. </v>
      </c>
      <c r="K28" s="15" t="str">
        <f>IF($E$2="","",VLOOKUP($E$2,Sprachversionen!$B:$BN,23,FALSE))</f>
        <v>Rate</v>
      </c>
      <c r="L28" s="55"/>
      <c r="M28" s="56"/>
      <c r="N28" s="56"/>
      <c r="O28" s="57" t="str">
        <f t="shared" si="1"/>
        <v/>
      </c>
      <c r="Q28" s="44" t="str">
        <f t="shared" si="2"/>
        <v xml:space="preserve">33. </v>
      </c>
      <c r="R28" s="15" t="str">
        <f>IF($E$2="","",VLOOKUP($E$2,Sprachversionen!$B:$BN,23,FALSE))</f>
        <v>Rate</v>
      </c>
      <c r="S28" s="55"/>
      <c r="T28" s="56"/>
      <c r="U28" s="56"/>
      <c r="V28" s="57" t="str">
        <f t="shared" si="3"/>
        <v/>
      </c>
      <c r="AA28" s="58"/>
      <c r="AB28" s="58"/>
    </row>
    <row r="29" s="3" customFormat="1">
      <c r="B29" s="91" t="s">
        <v>4</v>
      </c>
      <c r="C29" s="98"/>
      <c r="D29" s="93"/>
      <c r="E29" s="94"/>
      <c r="F29" s="95"/>
      <c r="G29" s="96">
        <f t="array" ref="G29">IFERROR(INDEX($F$1:$F$1001, ROW()) / INDEX($D$1:$D$1001, ROW()), 0)</f>
        <v>0</v>
      </c>
      <c r="H29" s="97"/>
      <c r="J29" s="44" t="str">
        <f t="shared" si="0"/>
        <v xml:space="preserve">16. </v>
      </c>
      <c r="K29" s="15" t="str">
        <f>IF($E$2="","",VLOOKUP($E$2,Sprachversionen!$B:$BN,23,FALSE))</f>
        <v>Rate</v>
      </c>
      <c r="L29" s="55"/>
      <c r="M29" s="56"/>
      <c r="N29" s="56"/>
      <c r="O29" s="57" t="str">
        <f t="shared" si="1"/>
        <v/>
      </c>
      <c r="Q29" s="44" t="str">
        <f t="shared" si="2"/>
        <v xml:space="preserve">34. </v>
      </c>
      <c r="R29" s="15" t="str">
        <f>IF($E$2="","",VLOOKUP($E$2,Sprachversionen!$B:$BN,23,FALSE))</f>
        <v>Rate</v>
      </c>
      <c r="S29" s="55"/>
      <c r="T29" s="56"/>
      <c r="U29" s="56"/>
      <c r="V29" s="57" t="str">
        <f t="shared" si="3"/>
        <v/>
      </c>
      <c r="AA29" s="58"/>
      <c r="AB29" s="58"/>
    </row>
    <row r="30" s="3" customFormat="1">
      <c r="B30" s="91" t="s">
        <v>5</v>
      </c>
      <c r="C30" s="98"/>
      <c r="D30" s="93"/>
      <c r="E30" s="94"/>
      <c r="F30" s="95"/>
      <c r="G30" s="96">
        <f t="array" ref="G30">IFERROR(INDEX($F$1:$F$1001, ROW()) / INDEX($D$1:$D$1001, ROW()), 0)</f>
        <v>0</v>
      </c>
      <c r="H30" s="97"/>
      <c r="J30" s="44" t="str">
        <f t="shared" si="0"/>
        <v xml:space="preserve">17. </v>
      </c>
      <c r="K30" s="15" t="str">
        <f>IF($E$2="","",VLOOKUP($E$2,Sprachversionen!$B:$BN,23,FALSE))</f>
        <v>Rate</v>
      </c>
      <c r="L30" s="55"/>
      <c r="M30" s="56"/>
      <c r="N30" s="56"/>
      <c r="O30" s="57" t="str">
        <f t="shared" si="1"/>
        <v/>
      </c>
      <c r="Q30" s="44" t="str">
        <f t="shared" si="2"/>
        <v xml:space="preserve">35. </v>
      </c>
      <c r="R30" s="15" t="str">
        <f>IF($E$2="","",VLOOKUP($E$2,Sprachversionen!$B:$BN,23,FALSE))</f>
        <v>Rate</v>
      </c>
      <c r="S30" s="55"/>
      <c r="T30" s="56"/>
      <c r="U30" s="56"/>
      <c r="V30" s="57" t="str">
        <f t="shared" si="3"/>
        <v/>
      </c>
      <c r="AA30" s="58"/>
      <c r="AB30" s="58"/>
    </row>
    <row r="31" s="3" customFormat="1">
      <c r="B31" s="91" t="s">
        <v>6</v>
      </c>
      <c r="C31" s="98"/>
      <c r="D31" s="93"/>
      <c r="E31" s="94"/>
      <c r="F31" s="95"/>
      <c r="G31" s="96">
        <f t="array" ref="G31">IFERROR(INDEX($F$1:$F$1001, ROW()) / INDEX($D$1:$D$1001, ROW()), 0)</f>
        <v>0</v>
      </c>
      <c r="H31" s="97"/>
      <c r="J31" s="99" t="str">
        <f t="shared" si="0"/>
        <v xml:space="preserve">18. </v>
      </c>
      <c r="K31" s="100" t="str">
        <f>IF($E$2="","",VLOOKUP($E$2,Sprachversionen!$B:$BN,23,FALSE))</f>
        <v>Rate</v>
      </c>
      <c r="L31" s="55"/>
      <c r="M31" s="56"/>
      <c r="N31" s="56"/>
      <c r="O31" s="57" t="str">
        <f t="shared" si="1"/>
        <v/>
      </c>
      <c r="Q31" s="99" t="str">
        <f t="shared" si="2"/>
        <v xml:space="preserve">36. </v>
      </c>
      <c r="R31" s="100" t="str">
        <f>IF($E$2="","",VLOOKUP($E$2,Sprachversionen!$B:$BN,23,FALSE))</f>
        <v>Rate</v>
      </c>
      <c r="S31" s="55"/>
      <c r="T31" s="56"/>
      <c r="U31" s="56"/>
      <c r="V31" s="57" t="str">
        <f t="shared" si="3"/>
        <v/>
      </c>
      <c r="AA31" s="58"/>
      <c r="AB31" s="58"/>
    </row>
    <row r="32" s="3" customFormat="1">
      <c r="B32" s="91" t="s">
        <v>7</v>
      </c>
      <c r="C32" s="98"/>
      <c r="D32" s="93"/>
      <c r="E32" s="94"/>
      <c r="F32" s="95"/>
      <c r="G32" s="96">
        <f t="array" ref="G32">IFERROR(INDEX($F$1:$F$1001, ROW()) / INDEX($D$1:$D$1001, ROW()), 0)</f>
        <v>0</v>
      </c>
      <c r="H32" s="97"/>
    </row>
    <row r="33" s="3" customFormat="1" outlineLevel="1">
      <c r="B33" s="91" t="s">
        <v>8</v>
      </c>
      <c r="C33" s="98"/>
      <c r="D33" s="93"/>
      <c r="E33" s="94"/>
      <c r="F33" s="95"/>
      <c r="G33" s="96">
        <f t="array" ref="G33">IFERROR(INDEX($F$1:$F$1001, ROW()) / INDEX($D$1:$D$1001, ROW()), 0)</f>
        <v>0</v>
      </c>
      <c r="H33" s="97"/>
    </row>
    <row r="34" s="3" customFormat="1" outlineLevel="1">
      <c r="B34" s="91" t="s">
        <v>9</v>
      </c>
      <c r="C34" s="98"/>
      <c r="D34" s="93"/>
      <c r="E34" s="94"/>
      <c r="F34" s="95"/>
      <c r="G34" s="96">
        <f t="array" ref="G34">IFERROR(INDEX($F$1:$F$1001, ROW()) / INDEX($D$1:$D$1001, ROW()), 0)</f>
        <v>0</v>
      </c>
      <c r="H34" s="97"/>
    </row>
    <row r="35" s="3" customFormat="1" outlineLevel="1">
      <c r="B35" s="91" t="s">
        <v>10</v>
      </c>
      <c r="C35" s="98"/>
      <c r="D35" s="93"/>
      <c r="E35" s="94"/>
      <c r="F35" s="95"/>
      <c r="G35" s="96">
        <f t="array" ref="G35">IFERROR(INDEX($F$1:$F$1001, ROW()) / INDEX($D$1:$D$1001, ROW()), 0)</f>
        <v>0</v>
      </c>
      <c r="H35" s="97"/>
    </row>
    <row r="36" s="3" customFormat="1" outlineLevel="1">
      <c r="B36" s="91" t="s">
        <v>11</v>
      </c>
      <c r="C36" s="98"/>
      <c r="D36" s="93"/>
      <c r="E36" s="94"/>
      <c r="F36" s="95"/>
      <c r="G36" s="96">
        <f t="array" ref="G36">IFERROR(INDEX($F$1:$F$1001, ROW()) / INDEX($D$1:$D$1001, ROW()), 0)</f>
        <v>0</v>
      </c>
      <c r="H36" s="97"/>
    </row>
    <row r="37" s="3" customFormat="1" outlineLevel="1">
      <c r="B37" s="91" t="s">
        <v>12</v>
      </c>
      <c r="C37" s="98"/>
      <c r="D37" s="93"/>
      <c r="E37" s="94"/>
      <c r="F37" s="95"/>
      <c r="G37" s="96">
        <f t="array" ref="G37">IFERROR(INDEX($F$1:$F$1001, ROW()) / INDEX($D$1:$D$1001, ROW()), 0)</f>
        <v>0</v>
      </c>
      <c r="H37" s="97"/>
    </row>
    <row r="38" s="3" customFormat="1" outlineLevel="1">
      <c r="B38" s="91" t="s">
        <v>13</v>
      </c>
      <c r="C38" s="98"/>
      <c r="D38" s="93"/>
      <c r="E38" s="94"/>
      <c r="F38" s="95"/>
      <c r="G38" s="96">
        <f t="array" ref="G38">IFERROR(INDEX($F$1:$F$1001, ROW()) / INDEX($D$1:$D$1001, ROW()), 0)</f>
        <v>0</v>
      </c>
      <c r="H38" s="97"/>
    </row>
    <row r="39" s="3" customFormat="1" outlineLevel="1">
      <c r="B39" s="91" t="s">
        <v>14</v>
      </c>
      <c r="C39" s="98"/>
      <c r="D39" s="93"/>
      <c r="E39" s="94"/>
      <c r="F39" s="95"/>
      <c r="G39" s="96">
        <f t="array" ref="G39">IFERROR(INDEX($F$1:$F$1001, ROW()) / INDEX($D$1:$D$1001, ROW()), 0)</f>
        <v>0</v>
      </c>
      <c r="H39" s="97"/>
    </row>
    <row r="40" s="3" customFormat="1" outlineLevel="1">
      <c r="B40" s="91" t="s">
        <v>15</v>
      </c>
      <c r="C40" s="98"/>
      <c r="D40" s="93"/>
      <c r="E40" s="94"/>
      <c r="F40" s="95"/>
      <c r="G40" s="96">
        <f t="array" ref="G40">IFERROR(INDEX($F$1:$F$1001, ROW()) / INDEX($D$1:$D$1001, ROW()), 0)</f>
        <v>0</v>
      </c>
      <c r="H40" s="97"/>
    </row>
    <row r="41" outlineLevel="1">
      <c r="B41" s="91" t="s">
        <v>16</v>
      </c>
      <c r="C41" s="98"/>
      <c r="D41" s="93"/>
      <c r="E41" s="94"/>
      <c r="F41" s="95"/>
      <c r="G41" s="96">
        <f t="array" ref="G41">IFERROR(INDEX($F$1:$F$1001, ROW()) / INDEX($D$1:$D$1001, ROW()), 0)</f>
        <v>0</v>
      </c>
      <c r="H41" s="97"/>
      <c r="W41" s="3"/>
      <c r="X41" s="3"/>
      <c r="Y41" s="3"/>
      <c r="Z41" s="3"/>
    </row>
    <row r="42" outlineLevel="1">
      <c r="B42" s="91" t="s">
        <v>17</v>
      </c>
      <c r="C42" s="98"/>
      <c r="D42" s="93"/>
      <c r="E42" s="94"/>
      <c r="F42" s="95"/>
      <c r="G42" s="96">
        <f t="array" ref="G42">IFERROR(INDEX($F$1:$F$1001, ROW()) / INDEX($D$1:$D$1001, ROW()), 0)</f>
        <v>0</v>
      </c>
      <c r="H42" s="97"/>
      <c r="W42" s="3"/>
      <c r="X42" s="3"/>
      <c r="Y42" s="3"/>
      <c r="Z42" s="3"/>
    </row>
    <row r="43" outlineLevel="1">
      <c r="B43" s="91" t="s">
        <v>18</v>
      </c>
      <c r="C43" s="98"/>
      <c r="D43" s="93"/>
      <c r="E43" s="94"/>
      <c r="F43" s="95"/>
      <c r="G43" s="96">
        <f t="array" ref="G43">IFERROR(INDEX($F$1:$F$1001, ROW()) / INDEX($D$1:$D$1001, ROW()), 0)</f>
        <v>0</v>
      </c>
      <c r="H43" s="97"/>
      <c r="W43" s="3"/>
      <c r="X43" s="3"/>
      <c r="Y43" s="3"/>
      <c r="Z43" s="3"/>
    </row>
    <row r="44" outlineLevel="1">
      <c r="B44" s="91" t="s">
        <v>19</v>
      </c>
      <c r="C44" s="98"/>
      <c r="D44" s="93"/>
      <c r="E44" s="94"/>
      <c r="F44" s="95"/>
      <c r="G44" s="96">
        <f t="array" ref="G44">IFERROR(INDEX($F$1:$F$1001, ROW()) / INDEX($D$1:$D$1001, ROW()), 0)</f>
        <v>0</v>
      </c>
      <c r="H44" s="97"/>
      <c r="W44" s="3"/>
      <c r="X44" s="3"/>
      <c r="Y44" s="3"/>
      <c r="Z44" s="3"/>
    </row>
    <row r="45" outlineLevel="1">
      <c r="B45" s="91" t="s">
        <v>20</v>
      </c>
      <c r="C45" s="98"/>
      <c r="D45" s="93"/>
      <c r="E45" s="94"/>
      <c r="F45" s="95"/>
      <c r="G45" s="96">
        <f t="array" ref="G45">IFERROR(INDEX($F$1:$F$1001, ROW()) / INDEX($D$1:$D$1001, ROW()), 0)</f>
        <v>0</v>
      </c>
      <c r="H45" s="97"/>
    </row>
    <row r="46" outlineLevel="1">
      <c r="B46" s="91" t="s">
        <v>21</v>
      </c>
      <c r="C46" s="98"/>
      <c r="D46" s="93"/>
      <c r="E46" s="94"/>
      <c r="F46" s="95"/>
      <c r="G46" s="96">
        <f t="array" ref="G46">IFERROR(INDEX($F$1:$F$1001, ROW()) / INDEX($D$1:$D$1001, ROW()), 0)</f>
        <v>0</v>
      </c>
      <c r="H46" s="97"/>
    </row>
    <row r="47" outlineLevel="1">
      <c r="B47" s="91" t="s">
        <v>22</v>
      </c>
      <c r="C47" s="98"/>
      <c r="D47" s="93"/>
      <c r="E47" s="94"/>
      <c r="F47" s="95"/>
      <c r="G47" s="96">
        <f t="array" ref="G47">IFERROR(INDEX($F$1:$F$1001, ROW()) / INDEX($D$1:$D$1001, ROW()), 0)</f>
        <v>0</v>
      </c>
      <c r="H47" s="97"/>
    </row>
    <row r="48" s="3" customFormat="1">
      <c r="B48" s="101" t="str">
        <f>IF($E$2="","",VLOOKUP($E$2,Sprachversionen!$B:$BN,30,FALSE))</f>
        <v xml:space="preserve">     Zwischensumme Bauausgaben</v>
      </c>
      <c r="C48" s="102"/>
      <c r="D48" s="103">
        <f t="array" ref="D48">SUMPRODUCT(ROUND(D28:D47, 2))</f>
        <v>0</v>
      </c>
      <c r="E48" s="103">
        <f t="array" ref="E48">SUMPRODUCT(ROUND(E28:E47, 2))</f>
        <v>0</v>
      </c>
      <c r="F48" s="103">
        <f t="array" ref="F48">SUMPRODUCT(ROUND(F28:F47, 2))</f>
        <v>0</v>
      </c>
      <c r="G48" s="104">
        <f t="array" ref="G48">IFERROR(INDEX($F$1:$F$1001, ROW()) / INDEX($D$1:$D$1001, ROW()), 0)</f>
        <v>0</v>
      </c>
      <c r="H48" s="105"/>
      <c r="W48" s="1"/>
      <c r="X48" s="1"/>
      <c r="Y48" s="1"/>
      <c r="Z48" s="1"/>
    </row>
    <row r="49" s="3" customFormat="1">
      <c r="B49" s="85" t="s">
        <v>23</v>
      </c>
      <c r="C49" s="86" t="str">
        <f>IF($E$2="","",VLOOKUP($E$2,Sprachversionen!$B:$BN,31,FALSE))</f>
        <v xml:space="preserve">Einmalige Ausgaben (Investitionen)</v>
      </c>
      <c r="D49" s="106"/>
      <c r="E49" s="106"/>
      <c r="F49" s="106"/>
      <c r="G49" s="89"/>
      <c r="H49" s="107"/>
    </row>
    <row r="50" s="3" customFormat="1">
      <c r="B50" s="91" t="s">
        <v>24</v>
      </c>
      <c r="C50" s="98"/>
      <c r="D50" s="108"/>
      <c r="E50" s="95"/>
      <c r="F50" s="95"/>
      <c r="G50" s="96">
        <f t="array" ref="G50">IFERROR(INDEX($F$1:$F$1001, ROW()) / INDEX($D$1:$D$1001, ROW()), 0)</f>
        <v>0</v>
      </c>
      <c r="H50" s="109"/>
    </row>
    <row r="51" s="3" customFormat="1">
      <c r="B51" s="91" t="s">
        <v>25</v>
      </c>
      <c r="C51" s="98"/>
      <c r="D51" s="108"/>
      <c r="E51" s="95"/>
      <c r="F51" s="95"/>
      <c r="G51" s="96">
        <f t="array" ref="G51">IFERROR(INDEX($F$1:$F$1001, ROW()) / INDEX($D$1:$D$1001, ROW()), 0)</f>
        <v>0</v>
      </c>
      <c r="H51" s="109"/>
    </row>
    <row r="52" s="3" customFormat="1">
      <c r="B52" s="91" t="s">
        <v>26</v>
      </c>
      <c r="C52" s="98"/>
      <c r="D52" s="108"/>
      <c r="E52" s="95"/>
      <c r="F52" s="95"/>
      <c r="G52" s="96">
        <f t="array" ref="G52">IFERROR(INDEX($F$1:$F$1001, ROW()) / INDEX($D$1:$D$1001, ROW()), 0)</f>
        <v>0</v>
      </c>
      <c r="H52" s="109"/>
    </row>
    <row r="53" s="3" customFormat="1">
      <c r="B53" s="91" t="s">
        <v>27</v>
      </c>
      <c r="C53" s="98"/>
      <c r="D53" s="108"/>
      <c r="E53" s="95"/>
      <c r="F53" s="95"/>
      <c r="G53" s="96">
        <f t="array" ref="G53">IFERROR(INDEX($F$1:$F$1001, ROW()) / INDEX($D$1:$D$1001, ROW()), 0)</f>
        <v>0</v>
      </c>
      <c r="H53" s="109"/>
    </row>
    <row r="54" s="3" customFormat="1">
      <c r="B54" s="91" t="s">
        <v>28</v>
      </c>
      <c r="C54" s="98"/>
      <c r="D54" s="108"/>
      <c r="E54" s="95"/>
      <c r="F54" s="95"/>
      <c r="G54" s="96">
        <f t="array" ref="G54">IFERROR(INDEX($F$1:$F$1001, ROW()) / INDEX($D$1:$D$1001, ROW()), 0)</f>
        <v>0</v>
      </c>
      <c r="H54" s="109"/>
    </row>
    <row r="55" s="3" customFormat="1" outlineLevel="1">
      <c r="B55" s="91" t="s">
        <v>29</v>
      </c>
      <c r="C55" s="98"/>
      <c r="D55" s="108"/>
      <c r="E55" s="95"/>
      <c r="F55" s="95"/>
      <c r="G55" s="96">
        <f t="array" ref="G55">IFERROR(INDEX($F$1:$F$1001, ROW()) / INDEX($D$1:$D$1001, ROW()), 0)</f>
        <v>0</v>
      </c>
      <c r="H55" s="109"/>
    </row>
    <row r="56" s="3" customFormat="1" outlineLevel="1">
      <c r="B56" s="91" t="s">
        <v>30</v>
      </c>
      <c r="C56" s="98"/>
      <c r="D56" s="108"/>
      <c r="E56" s="95"/>
      <c r="F56" s="95"/>
      <c r="G56" s="96">
        <f t="array" ref="G56">IFERROR(INDEX($F$1:$F$1001, ROW()) / INDEX($D$1:$D$1001, ROW()), 0)</f>
        <v>0</v>
      </c>
      <c r="H56" s="109"/>
    </row>
    <row r="57" s="3" customFormat="1" outlineLevel="1">
      <c r="B57" s="91" t="s">
        <v>31</v>
      </c>
      <c r="C57" s="98"/>
      <c r="D57" s="108"/>
      <c r="E57" s="95"/>
      <c r="F57" s="95"/>
      <c r="G57" s="96">
        <f t="array" ref="G57">IFERROR(INDEX($F$1:$F$1001, ROW()) / INDEX($D$1:$D$1001, ROW()), 0)</f>
        <v>0</v>
      </c>
      <c r="H57" s="109"/>
    </row>
    <row r="58" s="3" customFormat="1" outlineLevel="1">
      <c r="B58" s="91" t="s">
        <v>32</v>
      </c>
      <c r="C58" s="98"/>
      <c r="D58" s="108"/>
      <c r="E58" s="95"/>
      <c r="F58" s="95"/>
      <c r="G58" s="96">
        <f t="array" ref="G58">IFERROR(INDEX($F$1:$F$1001, ROW()) / INDEX($D$1:$D$1001, ROW()), 0)</f>
        <v>0</v>
      </c>
      <c r="H58" s="109"/>
    </row>
    <row r="59" s="3" customFormat="1" outlineLevel="1">
      <c r="B59" s="91" t="s">
        <v>33</v>
      </c>
      <c r="C59" s="98"/>
      <c r="D59" s="108"/>
      <c r="E59" s="95"/>
      <c r="F59" s="95"/>
      <c r="G59" s="96">
        <f t="array" ref="G59">IFERROR(INDEX($F$1:$F$1001, ROW()) / INDEX($D$1:$D$1001, ROW()), 0)</f>
        <v>0</v>
      </c>
      <c r="H59" s="109"/>
    </row>
    <row r="60" s="3" customFormat="1" outlineLevel="1">
      <c r="B60" s="91" t="s">
        <v>34</v>
      </c>
      <c r="C60" s="98"/>
      <c r="D60" s="108"/>
      <c r="E60" s="95"/>
      <c r="F60" s="95"/>
      <c r="G60" s="96">
        <f t="array" ref="G60">IFERROR(INDEX($F$1:$F$1001, ROW()) / INDEX($D$1:$D$1001, ROW()), 0)</f>
        <v>0</v>
      </c>
      <c r="H60" s="109"/>
    </row>
    <row r="61" s="3" customFormat="1" outlineLevel="1">
      <c r="B61" s="91" t="s">
        <v>35</v>
      </c>
      <c r="C61" s="98"/>
      <c r="D61" s="108"/>
      <c r="E61" s="95"/>
      <c r="F61" s="95"/>
      <c r="G61" s="96">
        <f t="array" ref="G61">IFERROR(INDEX($F$1:$F$1001, ROW()) / INDEX($D$1:$D$1001, ROW()), 0)</f>
        <v>0</v>
      </c>
      <c r="H61" s="109"/>
    </row>
    <row r="62" s="3" customFormat="1" outlineLevel="1">
      <c r="B62" s="91" t="s">
        <v>36</v>
      </c>
      <c r="C62" s="98"/>
      <c r="D62" s="108"/>
      <c r="E62" s="95"/>
      <c r="F62" s="95"/>
      <c r="G62" s="96">
        <f t="array" ref="G62">IFERROR(INDEX($F$1:$F$1001, ROW()) / INDEX($D$1:$D$1001, ROW()), 0)</f>
        <v>0</v>
      </c>
      <c r="H62" s="109"/>
    </row>
    <row r="63" s="3" customFormat="1" outlineLevel="1">
      <c r="B63" s="91" t="s">
        <v>37</v>
      </c>
      <c r="C63" s="98"/>
      <c r="D63" s="108"/>
      <c r="E63" s="95"/>
      <c r="F63" s="95"/>
      <c r="G63" s="96">
        <f t="array" ref="G63">IFERROR(INDEX($F$1:$F$1001, ROW()) / INDEX($D$1:$D$1001, ROW()), 0)</f>
        <v>0</v>
      </c>
      <c r="H63" s="109"/>
    </row>
    <row r="64" s="3" customFormat="1" outlineLevel="1">
      <c r="B64" s="91" t="s">
        <v>38</v>
      </c>
      <c r="C64" s="98"/>
      <c r="D64" s="108"/>
      <c r="E64" s="95"/>
      <c r="F64" s="95"/>
      <c r="G64" s="96">
        <f t="array" ref="G64">IFERROR(INDEX($F$1:$F$1001, ROW()) / INDEX($D$1:$D$1001, ROW()), 0)</f>
        <v>0</v>
      </c>
      <c r="H64" s="109"/>
    </row>
    <row r="65" s="3" customFormat="1" outlineLevel="1">
      <c r="B65" s="91" t="s">
        <v>39</v>
      </c>
      <c r="C65" s="98"/>
      <c r="D65" s="108"/>
      <c r="E65" s="95"/>
      <c r="F65" s="95"/>
      <c r="G65" s="96">
        <f t="array" ref="G65">IFERROR(INDEX($F$1:$F$1001, ROW()) / INDEX($D$1:$D$1001, ROW()), 0)</f>
        <v>0</v>
      </c>
      <c r="H65" s="109"/>
    </row>
    <row r="66" outlineLevel="1">
      <c r="B66" s="91" t="s">
        <v>40</v>
      </c>
      <c r="C66" s="98"/>
      <c r="D66" s="108"/>
      <c r="E66" s="95"/>
      <c r="F66" s="95"/>
      <c r="G66" s="96">
        <f t="array" ref="G66">IFERROR(INDEX($F$1:$F$1001, ROW()) / INDEX($D$1:$D$1001, ROW()), 0)</f>
        <v>0</v>
      </c>
      <c r="H66" s="109"/>
      <c r="W66" s="3"/>
      <c r="X66" s="3"/>
      <c r="Y66" s="3"/>
      <c r="Z66" s="3"/>
    </row>
    <row r="67" outlineLevel="1">
      <c r="B67" s="91" t="s">
        <v>41</v>
      </c>
      <c r="C67" s="98"/>
      <c r="D67" s="108"/>
      <c r="E67" s="95"/>
      <c r="F67" s="95"/>
      <c r="G67" s="96">
        <f t="array" ref="G67">IFERROR(INDEX($F$1:$F$1001, ROW()) / INDEX($D$1:$D$1001, ROW()), 0)</f>
        <v>0</v>
      </c>
      <c r="H67" s="109"/>
      <c r="W67" s="3"/>
      <c r="X67" s="3"/>
      <c r="Y67" s="3"/>
      <c r="Z67" s="3"/>
    </row>
    <row r="68" outlineLevel="1">
      <c r="B68" s="91" t="s">
        <v>42</v>
      </c>
      <c r="C68" s="98"/>
      <c r="D68" s="108"/>
      <c r="E68" s="95"/>
      <c r="F68" s="95"/>
      <c r="G68" s="96">
        <f t="array" ref="G68">IFERROR(INDEX($F$1:$F$1001, ROW()) / INDEX($D$1:$D$1001, ROW()), 0)</f>
        <v>0</v>
      </c>
      <c r="H68" s="109"/>
      <c r="W68" s="3"/>
      <c r="X68" s="3"/>
      <c r="Y68" s="3"/>
      <c r="Z68" s="3"/>
    </row>
    <row r="69" outlineLevel="1">
      <c r="B69" s="91" t="s">
        <v>43</v>
      </c>
      <c r="C69" s="98"/>
      <c r="D69" s="108"/>
      <c r="E69" s="95"/>
      <c r="F69" s="95"/>
      <c r="G69" s="96">
        <f t="array" ref="G69">IFERROR(INDEX($F$1:$F$1001, ROW()) / INDEX($D$1:$D$1001, ROW()), 0)</f>
        <v>0</v>
      </c>
      <c r="H69" s="109"/>
      <c r="W69" s="3"/>
      <c r="X69" s="3"/>
      <c r="Y69" s="3"/>
      <c r="Z69" s="3"/>
    </row>
    <row r="70" s="3" customFormat="1">
      <c r="B70" s="101" t="str">
        <f>IF($E$2="","",VLOOKUP($E$2,Sprachversionen!$B:$BN,32,FALSE))</f>
        <v xml:space="preserve">     Zwischensumme Einmalige Ausgaben (Investitionen)</v>
      </c>
      <c r="C70" s="102"/>
      <c r="D70" s="103">
        <f t="array" ref="D70">SUMPRODUCT(ROUND(D50:D69, 2))</f>
        <v>0</v>
      </c>
      <c r="E70" s="103">
        <f t="array" ref="E70">SUMPRODUCT(ROUND(E50:E69, 2))</f>
        <v>0</v>
      </c>
      <c r="F70" s="103">
        <f t="array" ref="F70">SUMPRODUCT(ROUND(F50:F69, 2))</f>
        <v>0</v>
      </c>
      <c r="G70" s="110">
        <f t="array" ref="G70">IFERROR(INDEX($F$1:$F$1001, ROW()) / INDEX($D$1:$D$1001, ROW()), 0)</f>
        <v>0</v>
      </c>
      <c r="H70" s="105"/>
    </row>
    <row r="71" s="3" customFormat="1">
      <c r="B71" s="85" t="s">
        <v>44</v>
      </c>
      <c r="C71" s="86" t="str">
        <f>IF($E$2="","",VLOOKUP($E$2,Sprachversionen!$B:$BN,33,FALSE))</f>
        <v>Personalkosten</v>
      </c>
      <c r="D71" s="106"/>
      <c r="E71" s="106"/>
      <c r="F71" s="106"/>
      <c r="G71" s="89"/>
      <c r="H71" s="107"/>
    </row>
    <row r="72" s="3" customFormat="1">
      <c r="B72" s="91" t="s">
        <v>45</v>
      </c>
      <c r="C72" s="98"/>
      <c r="D72" s="108"/>
      <c r="E72" s="95"/>
      <c r="F72" s="95"/>
      <c r="G72" s="96">
        <f t="array" ref="G72">IFERROR(INDEX($F$1:$F$1001, ROW()) / INDEX($D$1:$D$1001, ROW()), 0)</f>
        <v>0</v>
      </c>
      <c r="H72" s="109"/>
    </row>
    <row r="73" s="3" customFormat="1">
      <c r="B73" s="91" t="s">
        <v>46</v>
      </c>
      <c r="C73" s="98"/>
      <c r="D73" s="108"/>
      <c r="E73" s="95"/>
      <c r="F73" s="95"/>
      <c r="G73" s="96">
        <f t="array" ref="G73">IFERROR(INDEX($F$1:$F$1001, ROW()) / INDEX($D$1:$D$1001, ROW()), 0)</f>
        <v>0</v>
      </c>
      <c r="H73" s="109"/>
    </row>
    <row r="74" s="3" customFormat="1">
      <c r="B74" s="91" t="s">
        <v>47</v>
      </c>
      <c r="C74" s="98"/>
      <c r="D74" s="108"/>
      <c r="E74" s="95"/>
      <c r="F74" s="95"/>
      <c r="G74" s="96">
        <f t="array" ref="G74">IFERROR(INDEX($F$1:$F$1001, ROW()) / INDEX($D$1:$D$1001, ROW()), 0)</f>
        <v>0</v>
      </c>
      <c r="H74" s="109"/>
    </row>
    <row r="75" s="3" customFormat="1">
      <c r="B75" s="91" t="s">
        <v>48</v>
      </c>
      <c r="C75" s="98"/>
      <c r="D75" s="108"/>
      <c r="E75" s="95"/>
      <c r="F75" s="95"/>
      <c r="G75" s="96">
        <f t="array" ref="G75">IFERROR(INDEX($F$1:$F$1001, ROW()) / INDEX($D$1:$D$1001, ROW()), 0)</f>
        <v>0</v>
      </c>
      <c r="H75" s="109"/>
    </row>
    <row r="76" s="3" customFormat="1">
      <c r="B76" s="91" t="s">
        <v>49</v>
      </c>
      <c r="C76" s="98"/>
      <c r="D76" s="108"/>
      <c r="E76" s="95"/>
      <c r="F76" s="95"/>
      <c r="G76" s="96">
        <f t="array" ref="G76">IFERROR(INDEX($F$1:$F$1001, ROW()) / INDEX($D$1:$D$1001, ROW()), 0)</f>
        <v>0</v>
      </c>
      <c r="H76" s="109"/>
    </row>
    <row r="77" s="3" customFormat="1">
      <c r="B77" s="91" t="s">
        <v>50</v>
      </c>
      <c r="C77" s="98"/>
      <c r="D77" s="108"/>
      <c r="E77" s="95"/>
      <c r="F77" s="95"/>
      <c r="G77" s="96">
        <f t="array" ref="G77">IFERROR(INDEX($F$1:$F$1001, ROW()) / INDEX($D$1:$D$1001, ROW()), 0)</f>
        <v>0</v>
      </c>
      <c r="H77" s="109"/>
      <c r="W77" s="1"/>
      <c r="X77" s="1"/>
      <c r="Y77" s="1"/>
      <c r="Z77" s="1"/>
    </row>
    <row r="78" s="3" customFormat="1">
      <c r="B78" s="91" t="s">
        <v>51</v>
      </c>
      <c r="C78" s="98"/>
      <c r="D78" s="108"/>
      <c r="E78" s="95"/>
      <c r="F78" s="95"/>
      <c r="G78" s="96">
        <f t="array" ref="G78">IFERROR(INDEX($F$1:$F$1001, ROW()) / INDEX($D$1:$D$1001, ROW()), 0)</f>
        <v>0</v>
      </c>
      <c r="H78" s="109"/>
      <c r="W78" s="1"/>
      <c r="X78" s="1"/>
      <c r="Y78" s="1"/>
      <c r="Z78" s="1"/>
    </row>
    <row r="79" s="3" customFormat="1">
      <c r="B79" s="91" t="s">
        <v>52</v>
      </c>
      <c r="C79" s="98"/>
      <c r="D79" s="108"/>
      <c r="E79" s="95"/>
      <c r="F79" s="95"/>
      <c r="G79" s="96">
        <f t="array" ref="G79">IFERROR(INDEX($F$1:$F$1001, ROW()) / INDEX($D$1:$D$1001, ROW()), 0)</f>
        <v>0</v>
      </c>
      <c r="H79" s="109"/>
      <c r="W79" s="1"/>
      <c r="X79" s="1"/>
      <c r="Y79" s="1"/>
      <c r="Z79" s="1"/>
    </row>
    <row r="80" s="3" customFormat="1">
      <c r="B80" s="91" t="s">
        <v>53</v>
      </c>
      <c r="C80" s="98"/>
      <c r="D80" s="108"/>
      <c r="E80" s="95"/>
      <c r="F80" s="95"/>
      <c r="G80" s="96">
        <f t="array" ref="G80">IFERROR(INDEX($F$1:$F$1001, ROW()) / INDEX($D$1:$D$1001, ROW()), 0)</f>
        <v>0</v>
      </c>
      <c r="H80" s="109"/>
      <c r="W80" s="1"/>
      <c r="X80" s="1"/>
      <c r="Y80" s="1"/>
      <c r="Z80" s="1"/>
    </row>
    <row r="81" s="3" customFormat="1">
      <c r="B81" s="91" t="s">
        <v>54</v>
      </c>
      <c r="C81" s="98"/>
      <c r="D81" s="108"/>
      <c r="E81" s="95"/>
      <c r="F81" s="95"/>
      <c r="G81" s="96">
        <f t="array" ref="G81">IFERROR(INDEX($F$1:$F$1001, ROW()) / INDEX($D$1:$D$1001, ROW()), 0)</f>
        <v>0</v>
      </c>
      <c r="H81" s="109"/>
    </row>
    <row r="82" s="3" customFormat="1">
      <c r="B82" s="91" t="s">
        <v>55</v>
      </c>
      <c r="C82" s="98"/>
      <c r="D82" s="108"/>
      <c r="E82" s="95"/>
      <c r="F82" s="95"/>
      <c r="G82" s="96">
        <f t="array" ref="G82">IFERROR(INDEX($F$1:$F$1001, ROW()) / INDEX($D$1:$D$1001, ROW()), 0)</f>
        <v>0</v>
      </c>
      <c r="H82" s="109"/>
    </row>
    <row r="83" s="3" customFormat="1">
      <c r="B83" s="91" t="s">
        <v>56</v>
      </c>
      <c r="C83" s="98"/>
      <c r="D83" s="108"/>
      <c r="E83" s="95"/>
      <c r="F83" s="95"/>
      <c r="G83" s="96">
        <f t="array" ref="G83">IFERROR(INDEX($F$1:$F$1001, ROW()) / INDEX($D$1:$D$1001, ROW()), 0)</f>
        <v>0</v>
      </c>
      <c r="H83" s="109"/>
    </row>
    <row r="84" s="3" customFormat="1" outlineLevel="1">
      <c r="B84" s="91" t="s">
        <v>57</v>
      </c>
      <c r="C84" s="98"/>
      <c r="D84" s="108"/>
      <c r="E84" s="95"/>
      <c r="F84" s="95"/>
      <c r="G84" s="96">
        <f t="array" ref="G84">IFERROR(INDEX($F$1:$F$1001, ROW()) / INDEX($D$1:$D$1001, ROW()), 0)</f>
        <v>0</v>
      </c>
      <c r="H84" s="109"/>
    </row>
    <row r="85" s="3" customFormat="1" outlineLevel="1">
      <c r="B85" s="91" t="s">
        <v>58</v>
      </c>
      <c r="C85" s="98"/>
      <c r="D85" s="108"/>
      <c r="E85" s="95"/>
      <c r="F85" s="95"/>
      <c r="G85" s="96">
        <f t="array" ref="G85">IFERROR(INDEX($F$1:$F$1001, ROW()) / INDEX($D$1:$D$1001, ROW()), 0)</f>
        <v>0</v>
      </c>
      <c r="H85" s="109"/>
    </row>
    <row r="86" s="3" customFormat="1" outlineLevel="1">
      <c r="B86" s="91" t="s">
        <v>59</v>
      </c>
      <c r="C86" s="98"/>
      <c r="D86" s="108"/>
      <c r="E86" s="95"/>
      <c r="F86" s="95"/>
      <c r="G86" s="96">
        <f t="array" ref="G86">IFERROR(INDEX($F$1:$F$1001, ROW()) / INDEX($D$1:$D$1001, ROW()), 0)</f>
        <v>0</v>
      </c>
      <c r="H86" s="109"/>
    </row>
    <row r="87" s="3" customFormat="1" outlineLevel="1">
      <c r="B87" s="91" t="s">
        <v>60</v>
      </c>
      <c r="C87" s="98"/>
      <c r="D87" s="108"/>
      <c r="E87" s="95"/>
      <c r="F87" s="95"/>
      <c r="G87" s="96">
        <f t="array" ref="G87">IFERROR(INDEX($F$1:$F$1001, ROW()) / INDEX($D$1:$D$1001, ROW()), 0)</f>
        <v>0</v>
      </c>
      <c r="H87" s="109"/>
    </row>
    <row r="88" s="3" customFormat="1" outlineLevel="1">
      <c r="B88" s="91" t="s">
        <v>61</v>
      </c>
      <c r="C88" s="98"/>
      <c r="D88" s="108"/>
      <c r="E88" s="95"/>
      <c r="F88" s="95"/>
      <c r="G88" s="96">
        <f t="array" ref="G88">IFERROR(INDEX($F$1:$F$1001, ROW()) / INDEX($D$1:$D$1001, ROW()), 0)</f>
        <v>0</v>
      </c>
      <c r="H88" s="109"/>
    </row>
    <row r="89" s="3" customFormat="1" outlineLevel="1">
      <c r="B89" s="91" t="s">
        <v>62</v>
      </c>
      <c r="C89" s="98"/>
      <c r="D89" s="108"/>
      <c r="E89" s="95"/>
      <c r="F89" s="95"/>
      <c r="G89" s="96">
        <f t="array" ref="G89">IFERROR(INDEX($F$1:$F$1001, ROW()) / INDEX($D$1:$D$1001, ROW()), 0)</f>
        <v>0</v>
      </c>
      <c r="H89" s="109"/>
    </row>
    <row r="90" s="3" customFormat="1" outlineLevel="1">
      <c r="B90" s="91" t="s">
        <v>63</v>
      </c>
      <c r="C90" s="98"/>
      <c r="D90" s="108"/>
      <c r="E90" s="95"/>
      <c r="F90" s="95"/>
      <c r="G90" s="96">
        <f t="array" ref="G90">IFERROR(INDEX($F$1:$F$1001, ROW()) / INDEX($D$1:$D$1001, ROW()), 0)</f>
        <v>0</v>
      </c>
      <c r="H90" s="109"/>
    </row>
    <row r="91" s="3" customFormat="1" outlineLevel="1">
      <c r="B91" s="91" t="s">
        <v>64</v>
      </c>
      <c r="C91" s="98"/>
      <c r="D91" s="108"/>
      <c r="E91" s="95"/>
      <c r="F91" s="95"/>
      <c r="G91" s="96">
        <f t="array" ref="G91">IFERROR(INDEX($F$1:$F$1001, ROW()) / INDEX($D$1:$D$1001, ROW()), 0)</f>
        <v>0</v>
      </c>
      <c r="H91" s="109"/>
    </row>
    <row r="92" s="3" customFormat="1" outlineLevel="1">
      <c r="B92" s="91" t="s">
        <v>65</v>
      </c>
      <c r="C92" s="98"/>
      <c r="D92" s="108"/>
      <c r="E92" s="95"/>
      <c r="F92" s="95"/>
      <c r="G92" s="96">
        <f t="array" ref="G92">IFERROR(INDEX($F$1:$F$1001, ROW()) / INDEX($D$1:$D$1001, ROW()), 0)</f>
        <v>0</v>
      </c>
      <c r="H92" s="109"/>
      <c r="W92" s="1"/>
      <c r="X92" s="1"/>
      <c r="Y92" s="1"/>
      <c r="Z92" s="1"/>
    </row>
    <row r="93" s="3" customFormat="1" outlineLevel="1">
      <c r="B93" s="91" t="s">
        <v>66</v>
      </c>
      <c r="C93" s="98"/>
      <c r="D93" s="108"/>
      <c r="E93" s="95"/>
      <c r="F93" s="95"/>
      <c r="G93" s="96">
        <f t="array" ref="G93">IFERROR(INDEX($F$1:$F$1001, ROW()) / INDEX($D$1:$D$1001, ROW()), 0)</f>
        <v>0</v>
      </c>
      <c r="H93" s="109"/>
      <c r="W93" s="1"/>
      <c r="X93" s="1"/>
      <c r="Y93" s="1"/>
      <c r="Z93" s="1"/>
    </row>
    <row r="94" s="3" customFormat="1" outlineLevel="1">
      <c r="B94" s="91" t="s">
        <v>67</v>
      </c>
      <c r="C94" s="98"/>
      <c r="D94" s="108"/>
      <c r="E94" s="95"/>
      <c r="F94" s="95"/>
      <c r="G94" s="96">
        <f t="array" ref="G94">IFERROR(INDEX($F$1:$F$1001, ROW()) / INDEX($D$1:$D$1001, ROW()), 0)</f>
        <v>0</v>
      </c>
      <c r="H94" s="109"/>
      <c r="W94" s="1"/>
      <c r="X94" s="1"/>
      <c r="Y94" s="1"/>
      <c r="Z94" s="1"/>
    </row>
    <row r="95" s="3" customFormat="1" outlineLevel="1">
      <c r="B95" s="91" t="s">
        <v>68</v>
      </c>
      <c r="C95" s="98"/>
      <c r="D95" s="108"/>
      <c r="E95" s="95"/>
      <c r="F95" s="95"/>
      <c r="G95" s="96">
        <f t="array" ref="G95">IFERROR(INDEX($F$1:$F$1001, ROW()) / INDEX($D$1:$D$1001, ROW()), 0)</f>
        <v>0</v>
      </c>
      <c r="H95" s="109"/>
      <c r="W95" s="1"/>
      <c r="X95" s="1"/>
      <c r="Y95" s="1"/>
      <c r="Z95" s="1"/>
    </row>
    <row r="96" s="3" customFormat="1" outlineLevel="1">
      <c r="B96" s="91" t="s">
        <v>69</v>
      </c>
      <c r="C96" s="98"/>
      <c r="D96" s="108"/>
      <c r="E96" s="95"/>
      <c r="F96" s="95"/>
      <c r="G96" s="96">
        <f t="array" ref="G96">IFERROR(INDEX($F$1:$F$1001, ROW()) / INDEX($D$1:$D$1001, ROW()), 0)</f>
        <v>0</v>
      </c>
      <c r="H96" s="109"/>
      <c r="W96" s="1"/>
      <c r="X96" s="1"/>
      <c r="Y96" s="1"/>
      <c r="Z96" s="1"/>
    </row>
    <row r="97" s="3" customFormat="1" outlineLevel="1">
      <c r="B97" s="91" t="s">
        <v>70</v>
      </c>
      <c r="C97" s="98"/>
      <c r="D97" s="108"/>
      <c r="E97" s="95"/>
      <c r="F97" s="95"/>
      <c r="G97" s="96">
        <f t="array" ref="G97">IFERROR(INDEX($F$1:$F$1001, ROW()) / INDEX($D$1:$D$1001, ROW()), 0)</f>
        <v>0</v>
      </c>
      <c r="H97" s="109"/>
      <c r="W97" s="1"/>
      <c r="X97" s="1"/>
      <c r="Y97" s="1"/>
      <c r="Z97" s="1"/>
    </row>
    <row r="98" outlineLevel="1">
      <c r="B98" s="91" t="s">
        <v>71</v>
      </c>
      <c r="C98" s="98"/>
      <c r="D98" s="108"/>
      <c r="E98" s="95"/>
      <c r="F98" s="95"/>
      <c r="G98" s="96">
        <f t="array" ref="G98">IFERROR(INDEX($F$1:$F$1001, ROW()) / INDEX($D$1:$D$1001, ROW()), 0)</f>
        <v>0</v>
      </c>
      <c r="H98" s="109"/>
    </row>
    <row r="99" outlineLevel="1">
      <c r="B99" s="91" t="s">
        <v>72</v>
      </c>
      <c r="C99" s="98"/>
      <c r="D99" s="108"/>
      <c r="E99" s="95"/>
      <c r="F99" s="95"/>
      <c r="G99" s="96">
        <f t="array" ref="G99">IFERROR(INDEX($F$1:$F$1001, ROW()) / INDEX($D$1:$D$1001, ROW()), 0)</f>
        <v>0</v>
      </c>
      <c r="H99" s="109"/>
    </row>
    <row r="100" outlineLevel="1">
      <c r="B100" s="91" t="s">
        <v>73</v>
      </c>
      <c r="C100" s="98"/>
      <c r="D100" s="108"/>
      <c r="E100" s="95"/>
      <c r="F100" s="95"/>
      <c r="G100" s="96">
        <f t="array" ref="G100">IFERROR(INDEX($F$1:$F$1001, ROW()) / INDEX($D$1:$D$1001, ROW()), 0)</f>
        <v>0</v>
      </c>
      <c r="H100" s="109"/>
    </row>
    <row r="101" outlineLevel="1">
      <c r="B101" s="91" t="s">
        <v>74</v>
      </c>
      <c r="C101" s="98"/>
      <c r="D101" s="108"/>
      <c r="E101" s="95"/>
      <c r="F101" s="95"/>
      <c r="G101" s="96">
        <f t="array" ref="G101">IFERROR(INDEX($F$1:$F$1001, ROW()) / INDEX($D$1:$D$1001, ROW()), 0)</f>
        <v>0</v>
      </c>
      <c r="H101" s="109"/>
    </row>
    <row r="102" s="3" customFormat="1">
      <c r="B102" s="101" t="str">
        <f>IF($E$2="","",VLOOKUP($E$2,Sprachversionen!$B:$BN,34,FALSE))</f>
        <v xml:space="preserve">     Zwischensumme Personalkosten</v>
      </c>
      <c r="C102" s="102"/>
      <c r="D102" s="103">
        <f t="array" ref="D102">SUMPRODUCT(ROUND(D72:D101, 2))</f>
        <v>0</v>
      </c>
      <c r="E102" s="103">
        <f t="array" ref="E102">SUMPRODUCT(ROUND(E72:E101, 2))</f>
        <v>0</v>
      </c>
      <c r="F102" s="103">
        <f t="array" ref="F102">SUMPRODUCT(ROUND(F72:F101, 2))</f>
        <v>0</v>
      </c>
      <c r="G102" s="110">
        <f t="array" ref="G102">IFERROR(INDEX($F$1:$F$1001, ROW()) / INDEX($D$1:$D$1001, ROW()), 0)</f>
        <v>0</v>
      </c>
      <c r="H102" s="105"/>
      <c r="W102" s="1"/>
      <c r="X102" s="1"/>
      <c r="Y102" s="1"/>
      <c r="Z102" s="1"/>
    </row>
    <row r="103" s="3" customFormat="1">
      <c r="B103" s="85" t="s">
        <v>75</v>
      </c>
      <c r="C103" s="86" t="str">
        <f>IF($E$2="","",VLOOKUP($E$2,Sprachversionen!$B:$BN,35,FALSE))</f>
        <v xml:space="preserve">Laufende Ausgaben für Projektaktivitäten</v>
      </c>
      <c r="D103" s="106"/>
      <c r="E103" s="106"/>
      <c r="F103" s="106"/>
      <c r="G103" s="89"/>
      <c r="H103" s="107"/>
      <c r="W103" s="1"/>
      <c r="X103" s="1"/>
      <c r="Y103" s="1"/>
      <c r="Z103" s="1"/>
    </row>
    <row r="104" s="3" customFormat="1">
      <c r="B104" s="91" t="s">
        <v>76</v>
      </c>
      <c r="C104" s="98"/>
      <c r="D104" s="108"/>
      <c r="E104" s="95"/>
      <c r="F104" s="95"/>
      <c r="G104" s="96">
        <f t="array" ref="G104">IFERROR(INDEX($F$1:$F$1001, ROW()) / INDEX($D$1:$D$1001, ROW()), 0)</f>
        <v>0</v>
      </c>
      <c r="H104" s="109"/>
      <c r="W104" s="1"/>
      <c r="X104" s="1"/>
      <c r="Y104" s="1"/>
      <c r="Z104" s="1"/>
    </row>
    <row r="105" s="3" customFormat="1">
      <c r="B105" s="91" t="s">
        <v>77</v>
      </c>
      <c r="C105" s="98"/>
      <c r="D105" s="108"/>
      <c r="E105" s="95"/>
      <c r="F105" s="95"/>
      <c r="G105" s="96">
        <f t="array" ref="G105">IFERROR(INDEX($F$1:$F$1001, ROW()) / INDEX($D$1:$D$1001, ROW()), 0)</f>
        <v>0</v>
      </c>
      <c r="H105" s="109"/>
      <c r="W105" s="1"/>
      <c r="X105" s="1"/>
      <c r="Y105" s="1"/>
      <c r="Z105" s="1"/>
    </row>
    <row r="106" s="3" customFormat="1">
      <c r="B106" s="91" t="s">
        <v>78</v>
      </c>
      <c r="C106" s="98"/>
      <c r="D106" s="108"/>
      <c r="E106" s="95"/>
      <c r="F106" s="95"/>
      <c r="G106" s="96">
        <f t="array" ref="G106">IFERROR(INDEX($F$1:$F$1001, ROW()) / INDEX($D$1:$D$1001, ROW()), 0)</f>
        <v>0</v>
      </c>
      <c r="H106" s="109"/>
      <c r="W106" s="1"/>
      <c r="X106" s="1"/>
      <c r="Y106" s="1"/>
      <c r="Z106" s="1"/>
    </row>
    <row r="107" s="3" customFormat="1">
      <c r="B107" s="91" t="s">
        <v>79</v>
      </c>
      <c r="C107" s="98"/>
      <c r="D107" s="108"/>
      <c r="E107" s="95"/>
      <c r="F107" s="95"/>
      <c r="G107" s="96">
        <f t="array" ref="G107">IFERROR(INDEX($F$1:$F$1001, ROW()) / INDEX($D$1:$D$1001, ROW()), 0)</f>
        <v>0</v>
      </c>
      <c r="H107" s="109"/>
      <c r="W107" s="1"/>
      <c r="X107" s="1"/>
      <c r="Y107" s="1"/>
      <c r="Z107" s="1"/>
    </row>
    <row r="108" s="3" customFormat="1">
      <c r="B108" s="91" t="s">
        <v>80</v>
      </c>
      <c r="C108" s="98"/>
      <c r="D108" s="108"/>
      <c r="E108" s="95"/>
      <c r="F108" s="95"/>
      <c r="G108" s="96">
        <f t="array" ref="G108">IFERROR(INDEX($F$1:$F$1001, ROW()) / INDEX($D$1:$D$1001, ROW()), 0)</f>
        <v>0</v>
      </c>
      <c r="H108" s="109"/>
      <c r="W108" s="1"/>
      <c r="X108" s="1"/>
      <c r="Y108" s="1"/>
      <c r="Z108" s="1"/>
    </row>
    <row r="109" s="3" customFormat="1">
      <c r="B109" s="91" t="s">
        <v>81</v>
      </c>
      <c r="C109" s="98"/>
      <c r="D109" s="108"/>
      <c r="E109" s="95"/>
      <c r="F109" s="95"/>
      <c r="G109" s="96">
        <f t="array" ref="G109">IFERROR(INDEX($F$1:$F$1001, ROW()) / INDEX($D$1:$D$1001, ROW()), 0)</f>
        <v>0</v>
      </c>
      <c r="H109" s="109"/>
      <c r="W109" s="1"/>
      <c r="X109" s="1"/>
      <c r="Y109" s="1"/>
      <c r="Z109" s="1"/>
    </row>
    <row r="110" s="3" customFormat="1">
      <c r="B110" s="91" t="s">
        <v>82</v>
      </c>
      <c r="C110" s="98"/>
      <c r="D110" s="108"/>
      <c r="E110" s="95"/>
      <c r="F110" s="95"/>
      <c r="G110" s="96">
        <f t="array" ref="G110">IFERROR(INDEX($F$1:$F$1001, ROW()) / INDEX($D$1:$D$1001, ROW()), 0)</f>
        <v>0</v>
      </c>
      <c r="H110" s="109"/>
      <c r="W110" s="1"/>
      <c r="X110" s="1"/>
      <c r="Y110" s="1"/>
      <c r="Z110" s="1"/>
    </row>
    <row r="111" s="3" customFormat="1">
      <c r="B111" s="91" t="s">
        <v>83</v>
      </c>
      <c r="C111" s="98"/>
      <c r="D111" s="108"/>
      <c r="E111" s="95"/>
      <c r="F111" s="95"/>
      <c r="G111" s="96">
        <f t="array" ref="G111">IFERROR(INDEX($F$1:$F$1001, ROW()) / INDEX($D$1:$D$1001, ROW()), 0)</f>
        <v>0</v>
      </c>
      <c r="H111" s="109"/>
      <c r="W111" s="58"/>
      <c r="X111" s="1"/>
      <c r="Y111" s="1"/>
      <c r="Z111" s="1"/>
    </row>
    <row r="112" s="3" customFormat="1">
      <c r="B112" s="91" t="s">
        <v>84</v>
      </c>
      <c r="C112" s="98"/>
      <c r="D112" s="108"/>
      <c r="E112" s="95"/>
      <c r="F112" s="95"/>
      <c r="G112" s="96">
        <f t="array" ref="G112">IFERROR(INDEX($F$1:$F$1001, ROW()) / INDEX($D$1:$D$1001, ROW()), 0)</f>
        <v>0</v>
      </c>
      <c r="H112" s="109"/>
      <c r="W112" s="58"/>
      <c r="X112" s="1"/>
      <c r="Y112" s="1"/>
      <c r="Z112" s="1"/>
    </row>
    <row r="113">
      <c r="B113" s="91" t="s">
        <v>85</v>
      </c>
      <c r="C113" s="98"/>
      <c r="D113" s="108"/>
      <c r="E113" s="95"/>
      <c r="F113" s="95"/>
      <c r="G113" s="96">
        <f t="array" ref="G113">IFERROR(INDEX($F$1:$F$1001, ROW()) / INDEX($D$1:$D$1001, ROW()), 0)</f>
        <v>0</v>
      </c>
      <c r="H113" s="109"/>
      <c r="W113" s="111"/>
      <c r="X113" s="3"/>
      <c r="Y113" s="3"/>
      <c r="Z113" s="3"/>
    </row>
    <row r="114">
      <c r="B114" s="91" t="s">
        <v>86</v>
      </c>
      <c r="C114" s="98"/>
      <c r="D114" s="108"/>
      <c r="E114" s="95"/>
      <c r="F114" s="95"/>
      <c r="G114" s="96">
        <f t="array" ref="G114">IFERROR(INDEX($F$1:$F$1001, ROW()) / INDEX($D$1:$D$1001, ROW()), 0)</f>
        <v>0</v>
      </c>
      <c r="H114" s="109"/>
      <c r="W114" s="111"/>
      <c r="X114" s="3"/>
      <c r="Y114" s="3"/>
      <c r="Z114" s="3"/>
    </row>
    <row r="115">
      <c r="B115" s="91" t="s">
        <v>87</v>
      </c>
      <c r="C115" s="98"/>
      <c r="D115" s="108"/>
      <c r="E115" s="95"/>
      <c r="F115" s="95"/>
      <c r="G115" s="96">
        <f t="array" ref="G115">IFERROR(INDEX($F$1:$F$1001, ROW()) / INDEX($D$1:$D$1001, ROW()), 0)</f>
        <v>0</v>
      </c>
      <c r="H115" s="109"/>
      <c r="W115" s="111"/>
      <c r="X115" s="3"/>
      <c r="Y115" s="3"/>
      <c r="Z115" s="3"/>
    </row>
    <row r="116" outlineLevel="1">
      <c r="B116" s="91" t="s">
        <v>88</v>
      </c>
      <c r="C116" s="98"/>
      <c r="D116" s="108"/>
      <c r="E116" s="95"/>
      <c r="F116" s="95"/>
      <c r="G116" s="96">
        <f t="array" ref="G116">IFERROR(INDEX($F$1:$F$1001, ROW()) / INDEX($D$1:$D$1001, ROW()), 0)</f>
        <v>0</v>
      </c>
      <c r="H116" s="109"/>
      <c r="W116" s="111"/>
      <c r="X116" s="3"/>
      <c r="Y116" s="3"/>
      <c r="Z116" s="3"/>
    </row>
    <row r="117" outlineLevel="1">
      <c r="B117" s="91" t="s">
        <v>89</v>
      </c>
      <c r="C117" s="98"/>
      <c r="D117" s="108"/>
      <c r="E117" s="95"/>
      <c r="F117" s="95"/>
      <c r="G117" s="96">
        <f t="array" ref="G117">IFERROR(INDEX($F$1:$F$1001, ROW()) / INDEX($D$1:$D$1001, ROW()), 0)</f>
        <v>0</v>
      </c>
      <c r="H117" s="109"/>
      <c r="W117" s="111"/>
      <c r="X117" s="3"/>
      <c r="Y117" s="3"/>
      <c r="Z117" s="3"/>
    </row>
    <row r="118" outlineLevel="1">
      <c r="B118" s="91" t="s">
        <v>90</v>
      </c>
      <c r="C118" s="98"/>
      <c r="D118" s="108"/>
      <c r="E118" s="95"/>
      <c r="F118" s="95"/>
      <c r="G118" s="96">
        <f t="array" ref="G118">IFERROR(INDEX($F$1:$F$1001, ROW()) / INDEX($D$1:$D$1001, ROW()), 0)</f>
        <v>0</v>
      </c>
      <c r="H118" s="109"/>
      <c r="W118" s="111"/>
      <c r="X118" s="3"/>
      <c r="Y118" s="3"/>
      <c r="Z118" s="3"/>
    </row>
    <row r="119" outlineLevel="1">
      <c r="B119" s="91" t="s">
        <v>91</v>
      </c>
      <c r="C119" s="98"/>
      <c r="D119" s="108"/>
      <c r="E119" s="95"/>
      <c r="F119" s="95"/>
      <c r="G119" s="96">
        <f t="array" ref="G119">IFERROR(INDEX($F$1:$F$1001, ROW()) / INDEX($D$1:$D$1001, ROW()), 0)</f>
        <v>0</v>
      </c>
      <c r="H119" s="109"/>
      <c r="W119" s="111"/>
      <c r="X119" s="3"/>
      <c r="Y119" s="3"/>
      <c r="Z119" s="3"/>
    </row>
    <row r="120" outlineLevel="1">
      <c r="B120" s="91" t="s">
        <v>92</v>
      </c>
      <c r="C120" s="98"/>
      <c r="D120" s="108"/>
      <c r="E120" s="95"/>
      <c r="F120" s="95"/>
      <c r="G120" s="96">
        <f t="array" ref="G120">IFERROR(INDEX($F$1:$F$1001, ROW()) / INDEX($D$1:$D$1001, ROW()), 0)</f>
        <v>0</v>
      </c>
      <c r="H120" s="109"/>
      <c r="W120" s="111"/>
      <c r="X120" s="3"/>
      <c r="Y120" s="3"/>
      <c r="Z120" s="3"/>
    </row>
    <row r="121" outlineLevel="1">
      <c r="B121" s="91" t="s">
        <v>93</v>
      </c>
      <c r="C121" s="98"/>
      <c r="D121" s="108"/>
      <c r="E121" s="95"/>
      <c r="F121" s="95"/>
      <c r="G121" s="96">
        <f t="array" ref="G121">IFERROR(INDEX($F$1:$F$1001, ROW()) / INDEX($D$1:$D$1001, ROW()), 0)</f>
        <v>0</v>
      </c>
      <c r="H121" s="109"/>
      <c r="W121" s="111"/>
      <c r="X121" s="3"/>
      <c r="Y121" s="3"/>
      <c r="Z121" s="3"/>
    </row>
    <row r="122" outlineLevel="1">
      <c r="B122" s="91" t="s">
        <v>94</v>
      </c>
      <c r="C122" s="98"/>
      <c r="D122" s="108"/>
      <c r="E122" s="95"/>
      <c r="F122" s="95"/>
      <c r="G122" s="96">
        <f t="array" ref="G122">IFERROR(INDEX($F$1:$F$1001, ROW()) / INDEX($D$1:$D$1001, ROW()), 0)</f>
        <v>0</v>
      </c>
      <c r="H122" s="109"/>
      <c r="W122" s="111"/>
      <c r="X122" s="3"/>
      <c r="Y122" s="3"/>
      <c r="Z122" s="3"/>
    </row>
    <row r="123" outlineLevel="1">
      <c r="B123" s="91" t="s">
        <v>95</v>
      </c>
      <c r="C123" s="98"/>
      <c r="D123" s="108"/>
      <c r="E123" s="95"/>
      <c r="F123" s="95"/>
      <c r="G123" s="96">
        <f t="array" ref="G123">IFERROR(INDEX($F$1:$F$1001, ROW()) / INDEX($D$1:$D$1001, ROW()), 0)</f>
        <v>0</v>
      </c>
      <c r="H123" s="109"/>
      <c r="W123" s="111"/>
      <c r="X123" s="3"/>
      <c r="Y123" s="3"/>
      <c r="Z123" s="3"/>
    </row>
    <row r="124" outlineLevel="1">
      <c r="B124" s="91" t="s">
        <v>96</v>
      </c>
      <c r="C124" s="98"/>
      <c r="D124" s="108"/>
      <c r="E124" s="95"/>
      <c r="F124" s="95"/>
      <c r="G124" s="96">
        <f t="array" ref="G124">IFERROR(INDEX($F$1:$F$1001, ROW()) / INDEX($D$1:$D$1001, ROW()), 0)</f>
        <v>0</v>
      </c>
      <c r="H124" s="109"/>
      <c r="W124" s="111"/>
      <c r="X124" s="3"/>
      <c r="Y124" s="3"/>
      <c r="Z124" s="3"/>
    </row>
    <row r="125" outlineLevel="1">
      <c r="B125" s="91" t="s">
        <v>97</v>
      </c>
      <c r="C125" s="98"/>
      <c r="D125" s="108"/>
      <c r="E125" s="95"/>
      <c r="F125" s="95"/>
      <c r="G125" s="96">
        <f t="array" ref="G125">IFERROR(INDEX($F$1:$F$1001, ROW()) / INDEX($D$1:$D$1001, ROW()), 0)</f>
        <v>0</v>
      </c>
      <c r="H125" s="109"/>
      <c r="W125" s="111"/>
      <c r="X125" s="3"/>
      <c r="Y125" s="3"/>
      <c r="Z125" s="3"/>
    </row>
    <row r="126" outlineLevel="1">
      <c r="B126" s="91" t="s">
        <v>98</v>
      </c>
      <c r="C126" s="98"/>
      <c r="D126" s="108"/>
      <c r="E126" s="95"/>
      <c r="F126" s="95"/>
      <c r="G126" s="96">
        <f t="array" ref="G126">IFERROR(INDEX($F$1:$F$1001, ROW()) / INDEX($D$1:$D$1001, ROW()), 0)</f>
        <v>0</v>
      </c>
      <c r="H126" s="109"/>
      <c r="W126" s="111"/>
      <c r="X126" s="3"/>
      <c r="Y126" s="3"/>
      <c r="Z126" s="3"/>
    </row>
    <row r="127" outlineLevel="1">
      <c r="B127" s="91" t="s">
        <v>99</v>
      </c>
      <c r="C127" s="98"/>
      <c r="D127" s="108"/>
      <c r="E127" s="95"/>
      <c r="F127" s="95"/>
      <c r="G127" s="96">
        <f t="array" ref="G127">IFERROR(INDEX($F$1:$F$1001, ROW()) / INDEX($D$1:$D$1001, ROW()), 0)</f>
        <v>0</v>
      </c>
      <c r="H127" s="109"/>
      <c r="W127" s="111"/>
      <c r="X127" s="3"/>
      <c r="Y127" s="3"/>
      <c r="Z127" s="3"/>
    </row>
    <row r="128" outlineLevel="1">
      <c r="B128" s="91" t="s">
        <v>100</v>
      </c>
      <c r="C128" s="98"/>
      <c r="D128" s="108"/>
      <c r="E128" s="95"/>
      <c r="F128" s="95"/>
      <c r="G128" s="96">
        <f t="array" ref="G128">IFERROR(INDEX($F$1:$F$1001, ROW()) / INDEX($D$1:$D$1001, ROW()), 0)</f>
        <v>0</v>
      </c>
      <c r="H128" s="109"/>
      <c r="W128" s="111"/>
      <c r="X128" s="3"/>
      <c r="Y128" s="3"/>
      <c r="Z128" s="3"/>
    </row>
    <row r="129" outlineLevel="1">
      <c r="B129" s="91" t="s">
        <v>101</v>
      </c>
      <c r="C129" s="98"/>
      <c r="D129" s="108"/>
      <c r="E129" s="95"/>
      <c r="F129" s="95"/>
      <c r="G129" s="96">
        <f t="array" ref="G129">IFERROR(INDEX($F$1:$F$1001, ROW()) / INDEX($D$1:$D$1001, ROW()), 0)</f>
        <v>0</v>
      </c>
      <c r="H129" s="109"/>
      <c r="W129" s="58"/>
    </row>
    <row r="130" outlineLevel="1">
      <c r="B130" s="91" t="s">
        <v>102</v>
      </c>
      <c r="C130" s="98"/>
      <c r="D130" s="108"/>
      <c r="E130" s="95"/>
      <c r="F130" s="95"/>
      <c r="G130" s="96">
        <f t="array" ref="G130">IFERROR(INDEX($F$1:$F$1001, ROW()) / INDEX($D$1:$D$1001, ROW()), 0)</f>
        <v>0</v>
      </c>
      <c r="H130" s="109"/>
      <c r="W130" s="58"/>
    </row>
    <row r="131" outlineLevel="1">
      <c r="B131" s="91" t="s">
        <v>103</v>
      </c>
      <c r="C131" s="98"/>
      <c r="D131" s="108"/>
      <c r="E131" s="95"/>
      <c r="F131" s="95"/>
      <c r="G131" s="96">
        <f t="array" ref="G131">IFERROR(INDEX($F$1:$F$1001, ROW()) / INDEX($D$1:$D$1001, ROW()), 0)</f>
        <v>0</v>
      </c>
      <c r="H131" s="109"/>
      <c r="W131" s="58"/>
    </row>
    <row r="132" outlineLevel="1">
      <c r="B132" s="91" t="s">
        <v>104</v>
      </c>
      <c r="C132" s="98"/>
      <c r="D132" s="108"/>
      <c r="E132" s="95"/>
      <c r="F132" s="95"/>
      <c r="G132" s="96">
        <f t="array" ref="G132">IFERROR(INDEX($F$1:$F$1001, ROW()) / INDEX($D$1:$D$1001, ROW()), 0)</f>
        <v>0</v>
      </c>
      <c r="H132" s="109"/>
      <c r="I132" s="58"/>
      <c r="J132" s="58"/>
      <c r="Q132" s="58"/>
      <c r="W132" s="58"/>
    </row>
    <row r="133" outlineLevel="1">
      <c r="B133" s="91" t="s">
        <v>105</v>
      </c>
      <c r="C133" s="98"/>
      <c r="D133" s="108"/>
      <c r="E133" s="95"/>
      <c r="F133" s="95"/>
      <c r="G133" s="96">
        <f t="array" ref="G133">IFERROR(INDEX($F$1:$F$1001, ROW()) / INDEX($D$1:$D$1001, ROW()), 0)</f>
        <v>0</v>
      </c>
      <c r="H133" s="109"/>
      <c r="I133" s="58"/>
      <c r="J133" s="58"/>
      <c r="Q133" s="58"/>
      <c r="W133" s="58"/>
    </row>
    <row r="134" s="3" customFormat="1">
      <c r="B134" s="101" t="str">
        <f>IF($E$2="","",VLOOKUP($E$2,Sprachversionen!$B:$BN,36,FALSE))</f>
        <v xml:space="preserve">     Zwischensumme Laufende Ausgaben für Projektaktivitäten</v>
      </c>
      <c r="C134" s="102"/>
      <c r="D134" s="103">
        <f t="array" ref="D134">SUMPRODUCT(ROUND(D104:D133, 2))</f>
        <v>0</v>
      </c>
      <c r="E134" s="103">
        <f t="array" ref="E134">SUMPRODUCT(ROUND(E104:E133, 2))</f>
        <v>0</v>
      </c>
      <c r="F134" s="103">
        <f t="array" ref="F134">SUMPRODUCT(ROUND(F104:F133, 2))</f>
        <v>0</v>
      </c>
      <c r="G134" s="110">
        <f t="array" ref="G134">IFERROR(INDEX($F$1:$F$1001, ROW()) / INDEX($D$1:$D$1001, ROW()), 0)</f>
        <v>0</v>
      </c>
      <c r="H134" s="105"/>
      <c r="I134" s="111"/>
      <c r="J134" s="111"/>
      <c r="Q134" s="111"/>
      <c r="W134" s="58"/>
      <c r="X134" s="1"/>
      <c r="Y134" s="1"/>
      <c r="Z134" s="1"/>
    </row>
    <row r="135" s="3" customFormat="1">
      <c r="B135" s="85" t="s">
        <v>106</v>
      </c>
      <c r="C135" s="86" t="str">
        <f>IF($E$2="","",VLOOKUP($E$2,Sprachversionen!$B:$BN,37,FALSE))</f>
        <v>Projektverwaltung</v>
      </c>
      <c r="D135" s="106"/>
      <c r="E135" s="106"/>
      <c r="F135" s="106"/>
      <c r="G135" s="89"/>
      <c r="H135" s="107"/>
      <c r="I135" s="111"/>
      <c r="J135" s="111"/>
      <c r="Q135" s="111"/>
      <c r="W135" s="111"/>
    </row>
    <row r="136" s="3" customFormat="1">
      <c r="B136" s="91" t="s">
        <v>107</v>
      </c>
      <c r="C136" s="98"/>
      <c r="D136" s="108"/>
      <c r="E136" s="95"/>
      <c r="F136" s="95"/>
      <c r="G136" s="96">
        <f t="array" ref="G136">IFERROR(INDEX($F$1:$F$1001, ROW()) / INDEX($D$1:$D$1001, ROW()), 0)</f>
        <v>0</v>
      </c>
      <c r="H136" s="109"/>
      <c r="I136" s="111"/>
      <c r="J136" s="111"/>
      <c r="Q136" s="111"/>
      <c r="W136" s="111"/>
    </row>
    <row r="137" s="3" customFormat="1">
      <c r="B137" s="91" t="s">
        <v>108</v>
      </c>
      <c r="C137" s="98"/>
      <c r="D137" s="108"/>
      <c r="E137" s="95"/>
      <c r="F137" s="95"/>
      <c r="G137" s="96">
        <f t="array" ref="G137">IFERROR(INDEX($F$1:$F$1001, ROW()) / INDEX($D$1:$D$1001, ROW()), 0)</f>
        <v>0</v>
      </c>
      <c r="H137" s="109"/>
      <c r="I137" s="111"/>
      <c r="J137" s="111"/>
      <c r="Q137" s="111"/>
      <c r="W137" s="111"/>
    </row>
    <row r="138" s="3" customFormat="1">
      <c r="B138" s="91" t="s">
        <v>109</v>
      </c>
      <c r="C138" s="98"/>
      <c r="D138" s="108"/>
      <c r="E138" s="95"/>
      <c r="F138" s="95"/>
      <c r="G138" s="96">
        <f t="array" ref="G138">IFERROR(INDEX($F$1:$F$1001, ROW()) / INDEX($D$1:$D$1001, ROW()), 0)</f>
        <v>0</v>
      </c>
      <c r="H138" s="109"/>
      <c r="I138" s="111"/>
      <c r="J138" s="111"/>
      <c r="Q138" s="111"/>
      <c r="W138" s="111"/>
    </row>
    <row r="139" s="3" customFormat="1">
      <c r="B139" s="91" t="s">
        <v>110</v>
      </c>
      <c r="C139" s="98"/>
      <c r="D139" s="108"/>
      <c r="E139" s="95"/>
      <c r="F139" s="95"/>
      <c r="G139" s="96">
        <f t="array" ref="G139">IFERROR(INDEX($F$1:$F$1001, ROW()) / INDEX($D$1:$D$1001, ROW()), 0)</f>
        <v>0</v>
      </c>
      <c r="H139" s="109"/>
      <c r="I139" s="111"/>
      <c r="J139" s="111"/>
      <c r="Q139" s="111"/>
      <c r="W139" s="111"/>
    </row>
    <row r="140" s="3" customFormat="1">
      <c r="B140" s="91" t="s">
        <v>111</v>
      </c>
      <c r="C140" s="98"/>
      <c r="D140" s="108"/>
      <c r="E140" s="95"/>
      <c r="F140" s="95"/>
      <c r="G140" s="96">
        <f t="array" ref="G140">IFERROR(INDEX($F$1:$F$1001, ROW()) / INDEX($D$1:$D$1001, ROW()), 0)</f>
        <v>0</v>
      </c>
      <c r="H140" s="109"/>
      <c r="I140" s="111"/>
      <c r="J140" s="111"/>
      <c r="Q140" s="111"/>
      <c r="W140" s="58"/>
      <c r="X140" s="1"/>
      <c r="Y140" s="1"/>
      <c r="Z140" s="1"/>
    </row>
    <row r="141" s="3" customFormat="1" outlineLevel="1">
      <c r="B141" s="91" t="s">
        <v>112</v>
      </c>
      <c r="C141" s="98"/>
      <c r="D141" s="108"/>
      <c r="E141" s="95"/>
      <c r="F141" s="95"/>
      <c r="G141" s="96">
        <f t="array" ref="G141">IFERROR(INDEX($F$1:$F$1001, ROW()) / INDEX($D$1:$D$1001, ROW()), 0)</f>
        <v>0</v>
      </c>
      <c r="H141" s="109"/>
      <c r="I141" s="111"/>
      <c r="J141" s="111"/>
      <c r="Q141" s="111"/>
      <c r="W141" s="58"/>
      <c r="X141" s="1"/>
      <c r="Y141" s="1"/>
      <c r="Z141" s="1"/>
    </row>
    <row r="142" s="3" customFormat="1" outlineLevel="1">
      <c r="B142" s="91" t="s">
        <v>113</v>
      </c>
      <c r="C142" s="98"/>
      <c r="D142" s="108"/>
      <c r="E142" s="95"/>
      <c r="F142" s="95"/>
      <c r="G142" s="96">
        <f t="array" ref="G142">IFERROR(INDEX($F$1:$F$1001, ROW()) / INDEX($D$1:$D$1001, ROW()), 0)</f>
        <v>0</v>
      </c>
      <c r="H142" s="109"/>
      <c r="I142" s="111"/>
      <c r="J142" s="111"/>
      <c r="Q142" s="111"/>
      <c r="W142" s="58"/>
      <c r="X142" s="1"/>
      <c r="Y142" s="1"/>
      <c r="Z142" s="1"/>
    </row>
    <row r="143" s="3" customFormat="1" outlineLevel="1">
      <c r="B143" s="91" t="s">
        <v>114</v>
      </c>
      <c r="C143" s="98"/>
      <c r="D143" s="108"/>
      <c r="E143" s="95"/>
      <c r="F143" s="95"/>
      <c r="G143" s="96">
        <f t="array" ref="G143">IFERROR(INDEX($F$1:$F$1001, ROW()) / INDEX($D$1:$D$1001, ROW()), 0)</f>
        <v>0</v>
      </c>
      <c r="H143" s="109"/>
      <c r="I143" s="111"/>
      <c r="J143" s="111"/>
      <c r="Q143" s="111"/>
      <c r="W143" s="1"/>
      <c r="X143" s="1"/>
      <c r="Y143" s="1"/>
      <c r="Z143" s="1"/>
    </row>
    <row r="144" s="3" customFormat="1" outlineLevel="1">
      <c r="B144" s="91" t="s">
        <v>115</v>
      </c>
      <c r="C144" s="98"/>
      <c r="D144" s="108"/>
      <c r="E144" s="95"/>
      <c r="F144" s="95"/>
      <c r="G144" s="96">
        <f t="array" ref="G144">IFERROR(INDEX($F$1:$F$1001, ROW()) / INDEX($D$1:$D$1001, ROW()), 0)</f>
        <v>0</v>
      </c>
      <c r="H144" s="109"/>
      <c r="I144" s="111"/>
      <c r="J144" s="111"/>
      <c r="Q144" s="111"/>
      <c r="W144" s="1"/>
      <c r="X144" s="1"/>
      <c r="Y144" s="1"/>
      <c r="Z144" s="1"/>
    </row>
    <row r="145" s="3" customFormat="1" outlineLevel="1">
      <c r="B145" s="91" t="s">
        <v>116</v>
      </c>
      <c r="C145" s="98"/>
      <c r="D145" s="108"/>
      <c r="E145" s="95"/>
      <c r="F145" s="95"/>
      <c r="G145" s="96">
        <f t="array" ref="G145">IFERROR(INDEX($F$1:$F$1001, ROW()) / INDEX($D$1:$D$1001, ROW()), 0)</f>
        <v>0</v>
      </c>
      <c r="H145" s="109"/>
      <c r="I145" s="111"/>
      <c r="J145" s="111"/>
      <c r="Q145" s="111"/>
      <c r="W145" s="1"/>
      <c r="X145" s="1"/>
      <c r="Y145" s="1"/>
      <c r="Z145" s="1"/>
    </row>
    <row r="146" s="3" customFormat="1" outlineLevel="1">
      <c r="B146" s="91" t="s">
        <v>117</v>
      </c>
      <c r="C146" s="98"/>
      <c r="D146" s="108"/>
      <c r="E146" s="95"/>
      <c r="F146" s="95"/>
      <c r="G146" s="96">
        <f t="array" ref="G146">IFERROR(INDEX($F$1:$F$1001, ROW()) / INDEX($D$1:$D$1001, ROW()), 0)</f>
        <v>0</v>
      </c>
      <c r="H146" s="109"/>
      <c r="I146" s="111"/>
      <c r="J146" s="111"/>
      <c r="Q146" s="111"/>
      <c r="W146" s="1"/>
      <c r="X146" s="1"/>
      <c r="Y146" s="1"/>
      <c r="Z146" s="1"/>
    </row>
    <row r="147" s="3" customFormat="1" outlineLevel="1">
      <c r="B147" s="91" t="s">
        <v>118</v>
      </c>
      <c r="C147" s="98"/>
      <c r="D147" s="108"/>
      <c r="E147" s="95"/>
      <c r="F147" s="95"/>
      <c r="G147" s="96">
        <f t="array" ref="G147">IFERROR(INDEX($F$1:$F$1001, ROW()) / INDEX($D$1:$D$1001, ROW()), 0)</f>
        <v>0</v>
      </c>
      <c r="H147" s="109"/>
      <c r="I147" s="111"/>
      <c r="J147" s="111"/>
      <c r="Q147" s="111"/>
      <c r="W147" s="1"/>
      <c r="X147" s="1"/>
      <c r="Y147" s="1"/>
      <c r="Z147" s="1"/>
    </row>
    <row r="148" s="3" customFormat="1" outlineLevel="1">
      <c r="B148" s="91" t="s">
        <v>119</v>
      </c>
      <c r="C148" s="98"/>
      <c r="D148" s="108"/>
      <c r="E148" s="95"/>
      <c r="F148" s="95"/>
      <c r="G148" s="96">
        <f t="array" ref="G148">IFERROR(INDEX($F$1:$F$1001, ROW()) / INDEX($D$1:$D$1001, ROW()), 0)</f>
        <v>0</v>
      </c>
      <c r="H148" s="109"/>
      <c r="I148" s="111"/>
      <c r="J148" s="111"/>
      <c r="Q148" s="111"/>
      <c r="W148" s="1"/>
      <c r="X148" s="1"/>
      <c r="Y148" s="1"/>
      <c r="Z148" s="1"/>
    </row>
    <row r="149" s="3" customFormat="1" outlineLevel="1">
      <c r="B149" s="91" t="s">
        <v>120</v>
      </c>
      <c r="C149" s="98"/>
      <c r="D149" s="108"/>
      <c r="E149" s="95"/>
      <c r="F149" s="95"/>
      <c r="G149" s="96">
        <f t="array" ref="G149">IFERROR(INDEX($F$1:$F$1001, ROW()) / INDEX($D$1:$D$1001, ROW()), 0)</f>
        <v>0</v>
      </c>
      <c r="H149" s="109"/>
      <c r="I149" s="111"/>
      <c r="J149" s="111"/>
      <c r="Q149" s="111"/>
      <c r="W149" s="1"/>
      <c r="X149" s="1"/>
      <c r="Y149" s="1"/>
      <c r="Z149" s="1"/>
    </row>
    <row r="150" outlineLevel="1">
      <c r="B150" s="91" t="s">
        <v>121</v>
      </c>
      <c r="C150" s="112"/>
      <c r="D150" s="108"/>
      <c r="E150" s="95"/>
      <c r="F150" s="95"/>
      <c r="G150" s="96">
        <f t="array" ref="G150">IFERROR(INDEX($F$1:$F$1001, ROW()) / INDEX($D$1:$D$1001, ROW()), 0)</f>
        <v>0</v>
      </c>
      <c r="H150" s="109"/>
      <c r="I150" s="58"/>
      <c r="J150" s="58"/>
      <c r="Q150" s="58"/>
    </row>
    <row r="151" outlineLevel="1">
      <c r="B151" s="91" t="s">
        <v>122</v>
      </c>
      <c r="C151" s="112"/>
      <c r="D151" s="108"/>
      <c r="E151" s="95"/>
      <c r="F151" s="95"/>
      <c r="G151" s="96">
        <f t="array" ref="G151">IFERROR(INDEX($F$1:$F$1001, ROW()) / INDEX($D$1:$D$1001, ROW()), 0)</f>
        <v>0</v>
      </c>
      <c r="H151" s="109"/>
      <c r="I151" s="58"/>
      <c r="J151" s="58"/>
      <c r="Q151" s="58"/>
    </row>
    <row r="152" outlineLevel="1">
      <c r="B152" s="91" t="s">
        <v>123</v>
      </c>
      <c r="C152" s="112"/>
      <c r="D152" s="108"/>
      <c r="E152" s="95"/>
      <c r="F152" s="95"/>
      <c r="G152" s="96">
        <f t="array" ref="G152">IFERROR(INDEX($F$1:$F$1001, ROW()) / INDEX($D$1:$D$1001, ROW()), 0)</f>
        <v>0</v>
      </c>
      <c r="H152" s="109"/>
      <c r="I152" s="58"/>
      <c r="J152" s="58"/>
      <c r="Q152" s="58"/>
    </row>
    <row r="153" outlineLevel="1">
      <c r="B153" s="91" t="s">
        <v>124</v>
      </c>
      <c r="C153" s="112"/>
      <c r="D153" s="108"/>
      <c r="E153" s="95"/>
      <c r="F153" s="95"/>
      <c r="G153" s="96">
        <f t="array" ref="G153">IFERROR(INDEX($F$1:$F$1001, ROW()) / INDEX($D$1:$D$1001, ROW()), 0)</f>
        <v>0</v>
      </c>
      <c r="H153" s="109"/>
      <c r="I153" s="58"/>
      <c r="J153" s="58"/>
      <c r="Q153" s="58"/>
    </row>
    <row r="154" outlineLevel="1">
      <c r="B154" s="91" t="s">
        <v>125</v>
      </c>
      <c r="C154" s="112"/>
      <c r="D154" s="108"/>
      <c r="E154" s="95"/>
      <c r="F154" s="95"/>
      <c r="G154" s="96">
        <f t="array" ref="G154">IFERROR(INDEX($F$1:$F$1001, ROW()) / INDEX($D$1:$D$1001, ROW()), 0)</f>
        <v>0</v>
      </c>
      <c r="H154" s="109"/>
      <c r="I154" s="58"/>
      <c r="J154" s="58"/>
      <c r="Q154" s="58"/>
    </row>
    <row r="155" outlineLevel="1">
      <c r="B155" s="91" t="s">
        <v>126</v>
      </c>
      <c r="C155" s="112"/>
      <c r="D155" s="108"/>
      <c r="E155" s="95"/>
      <c r="F155" s="95"/>
      <c r="G155" s="96">
        <f t="array" ref="G155">IFERROR(INDEX($F$1:$F$1001, ROW()) / INDEX($D$1:$D$1001, ROW()), 0)</f>
        <v>0</v>
      </c>
      <c r="H155" s="109"/>
      <c r="I155" s="58"/>
      <c r="J155" s="58"/>
      <c r="Q155" s="58"/>
    </row>
    <row r="156" s="3" customFormat="1">
      <c r="B156" s="101" t="str">
        <f>IF($E$2="","",VLOOKUP($E$2,Sprachversionen!$B:$BN,38,FALSE))</f>
        <v xml:space="preserve">     Zwischensumme Projektverwaltung</v>
      </c>
      <c r="C156" s="102"/>
      <c r="D156" s="103">
        <f t="array" ref="D156">SUMPRODUCT(ROUND(D136:D155, 2))</f>
        <v>0</v>
      </c>
      <c r="E156" s="103">
        <f t="array" ref="E156">SUMPRODUCT(ROUND(E136:E155, 2))</f>
        <v>0</v>
      </c>
      <c r="F156" s="103">
        <f t="array" ref="F156">SUMPRODUCT(ROUND(F136:F155, 2))</f>
        <v>0</v>
      </c>
      <c r="G156" s="110">
        <f t="array" ref="G156">IFERROR(INDEX($F$1:$F$1001, ROW()) / INDEX($D$1:$D$1001, ROW()), 0)</f>
        <v>0</v>
      </c>
      <c r="H156" s="105"/>
      <c r="I156" s="111"/>
      <c r="J156" s="111"/>
      <c r="Q156" s="111"/>
      <c r="W156" s="1"/>
      <c r="X156" s="1"/>
      <c r="Y156" s="1"/>
      <c r="Z156" s="1"/>
    </row>
    <row r="157" s="3" customFormat="1">
      <c r="B157" s="113" t="s">
        <v>127</v>
      </c>
      <c r="C157" s="86" t="str">
        <f>IF($E$2="","",VLOOKUP($E$2,Sprachversionen!$B:$BN,39,FALSE))</f>
        <v>Evaluierung</v>
      </c>
      <c r="D157" s="114"/>
      <c r="E157" s="115"/>
      <c r="F157" s="115"/>
      <c r="G157" s="89">
        <f t="array" ref="G157">IFERROR(INDEX($F$1:$F$1001, ROW()) / INDEX($D$1:$D$1001, ROW()), 0)</f>
        <v>0</v>
      </c>
      <c r="H157" s="116"/>
      <c r="I157" s="111"/>
      <c r="J157" s="111"/>
      <c r="Q157" s="111"/>
      <c r="W157" s="1"/>
      <c r="X157" s="1"/>
      <c r="Y157" s="1"/>
      <c r="Z157" s="1"/>
    </row>
    <row r="158" s="3" customFormat="1">
      <c r="B158" s="113" t="s">
        <v>128</v>
      </c>
      <c r="C158" s="86" t="str">
        <f>IF($E$2="","",VLOOKUP($E$2,Sprachversionen!$B:$BN,40,FALSE))</f>
        <v>Audit</v>
      </c>
      <c r="D158" s="114"/>
      <c r="E158" s="115"/>
      <c r="F158" s="115"/>
      <c r="G158" s="89">
        <f t="array" ref="G158">IFERROR(INDEX($F$1:$F$1001, ROW()) / INDEX($D$1:$D$1001, ROW()), 0)</f>
        <v>0</v>
      </c>
      <c r="H158" s="116"/>
      <c r="I158" s="111"/>
      <c r="J158" s="111"/>
      <c r="Q158" s="111"/>
      <c r="W158" s="1"/>
      <c r="X158" s="1"/>
      <c r="Y158" s="1"/>
      <c r="Z158" s="1"/>
    </row>
    <row r="159" s="3" customFormat="1">
      <c r="B159" s="113" t="s">
        <v>129</v>
      </c>
      <c r="C159" s="117" t="str">
        <f>IF($E$2="","",VLOOKUP($E$2,Sprachversionen!$B:$BN,41,FALSE))</f>
        <v xml:space="preserve">Reserve - nur nach Genehmigung</v>
      </c>
      <c r="D159" s="118"/>
      <c r="E159" s="119"/>
      <c r="F159" s="119"/>
      <c r="G159" s="120">
        <f t="array" ref="G159">IFERROR(INDEX($F$1:$F$1001, ROW()) / INDEX($D$1:$D$1001, ROW()), 0)</f>
        <v>0</v>
      </c>
      <c r="H159" s="121"/>
      <c r="I159" s="111"/>
      <c r="J159" s="111"/>
      <c r="Q159" s="111"/>
      <c r="W159" s="1"/>
      <c r="X159" s="1"/>
      <c r="Y159" s="1"/>
      <c r="Z159" s="1"/>
    </row>
    <row r="160" s="3" customFormat="1" ht="13.5">
      <c r="B160" s="122" t="str">
        <f>IF($E$2="","",VLOOKUP($E$2,Sprachversionen!$B:$BN,42,FALSE))</f>
        <v>Summe</v>
      </c>
      <c r="C160" s="123"/>
      <c r="D160" s="124">
        <f>D48+D70+D102+D134+D156+D157+D158+D159</f>
        <v>0</v>
      </c>
      <c r="E160" s="124">
        <f>E48+E70+E102+E134+E156+E157+E158+E159</f>
        <v>0</v>
      </c>
      <c r="F160" s="124">
        <f>F48+F70+F102+F134+F156+F157+F158+F159</f>
        <v>0</v>
      </c>
      <c r="G160" s="125">
        <f t="array" ref="G160">IFERROR(INDEX($F$1:$F$1001, ROW()) / INDEX($D$1:$D$1001, ROW()), 0)</f>
        <v>0</v>
      </c>
      <c r="H160" s="126"/>
      <c r="I160" s="111"/>
      <c r="J160" s="111"/>
      <c r="Q160" s="111"/>
      <c r="W160" s="1"/>
      <c r="X160" s="1"/>
      <c r="Y160" s="1"/>
      <c r="Z160" s="1"/>
    </row>
    <row r="161">
      <c r="C161" s="127"/>
      <c r="D161" s="58"/>
      <c r="E161" s="58"/>
      <c r="F161" s="58"/>
      <c r="G161" s="58"/>
      <c r="H161" s="58"/>
      <c r="I161" s="58"/>
      <c r="J161" s="58"/>
      <c r="Q161" s="58"/>
    </row>
    <row r="162">
      <c r="C162" s="127"/>
      <c r="D162" s="58"/>
      <c r="E162" s="58"/>
      <c r="F162" s="58"/>
      <c r="G162" s="58"/>
      <c r="H162" s="58"/>
      <c r="I162" s="58"/>
      <c r="J162" s="58"/>
      <c r="Q162" s="58"/>
    </row>
    <row r="163" ht="13.5">
      <c r="C163" s="127"/>
      <c r="D163" s="58"/>
      <c r="E163" s="58"/>
      <c r="F163" s="58"/>
      <c r="G163" s="58"/>
      <c r="H163" s="58"/>
      <c r="I163" s="58"/>
      <c r="J163" s="58"/>
      <c r="Q163" s="58"/>
    </row>
    <row r="164" ht="12.6" customHeight="1">
      <c r="B164" s="128"/>
      <c r="C164" s="129"/>
      <c r="D164" s="130"/>
      <c r="E164" s="131" t="str">
        <f>IF($E$2="","",VLOOKUP($E$2,Sprachversionen!$B:$BN,44,FALSE))</f>
        <v xml:space="preserve">Saldo für den Berichtszeitraum</v>
      </c>
      <c r="F164" s="127"/>
      <c r="G164" s="127"/>
      <c r="H164" s="127"/>
    </row>
    <row r="165" ht="12.6" customHeight="1">
      <c r="B165" s="132" t="str">
        <f>IF($E$2="","",VLOOKUP($E$2,Sprachversionen!$B:$BN,43,FALSE))</f>
        <v>ABSCHLUSS</v>
      </c>
      <c r="C165" s="133"/>
      <c r="D165" s="134"/>
      <c r="E165" s="135"/>
      <c r="F165" s="127"/>
      <c r="G165" s="127"/>
      <c r="H165" s="127"/>
    </row>
    <row r="166" ht="12.6" customHeight="1">
      <c r="B166" s="136"/>
      <c r="C166" s="137"/>
      <c r="D166" s="138"/>
      <c r="E166" s="43" t="str">
        <f>B13</f>
        <v xml:space="preserve">(in lokaler Währung)</v>
      </c>
      <c r="F166" s="127"/>
      <c r="G166" s="127"/>
      <c r="H166" s="127"/>
    </row>
    <row r="167">
      <c r="B167" s="136"/>
      <c r="C167" s="139"/>
      <c r="D167" s="140"/>
      <c r="E167" s="43"/>
      <c r="F167" s="127"/>
      <c r="G167" s="127"/>
      <c r="H167" s="127"/>
    </row>
    <row r="168" ht="13.5" customHeight="1">
      <c r="B168" s="141" t="str">
        <f>IF($E$2="","",VLOOKUP($E$2,Sprachversionen!$B:$BN,45,FALSE))</f>
        <v xml:space="preserve">Saldo (Einnahmen minus Ausgaben)</v>
      </c>
      <c r="C168" s="142"/>
      <c r="D168" s="143" t="str">
        <f>IF(ROUND(E168,2)=(ROUND(F20-F160,2)),"✓","")</f>
        <v>✓</v>
      </c>
      <c r="E168" s="144">
        <f>E20-E160</f>
        <v>0</v>
      </c>
      <c r="W168" s="145"/>
    </row>
    <row r="169" ht="13.5" customHeight="1">
      <c r="B169" s="136"/>
      <c r="C169" s="8"/>
      <c r="D169" s="8"/>
      <c r="E169" s="146"/>
    </row>
    <row r="170" ht="14.25" customHeight="1">
      <c r="B170" s="147" t="str">
        <f>IF($E$2="","",VLOOKUP($E$2,Sprachversionen!$B:$BN,46,FALSE))</f>
        <v>Saldenabstimmung:</v>
      </c>
      <c r="C170" s="148"/>
      <c r="D170" s="8"/>
      <c r="E170" s="146" t="str">
        <f>IF(E168=SUM(E171:E173),"OK","")</f>
        <v>OK</v>
      </c>
    </row>
    <row r="171">
      <c r="B171" s="149" t="str">
        <f>IF($E$2="","",VLOOKUP($E$2,Sprachversionen!$B:$BN,47,FALSE))</f>
        <v>Bank</v>
      </c>
      <c r="C171" s="25"/>
      <c r="D171" s="150"/>
      <c r="E171" s="151"/>
      <c r="F171" s="152"/>
      <c r="G171" s="152"/>
      <c r="H171" s="152"/>
    </row>
    <row r="172">
      <c r="B172" s="149" t="str">
        <f>IF($E$2="","",VLOOKUP($E$2,Sprachversionen!$B:$BN,48,FALSE))</f>
        <v>Kasse</v>
      </c>
      <c r="C172" s="25"/>
      <c r="D172" s="150"/>
      <c r="E172" s="151"/>
      <c r="F172" s="152"/>
      <c r="G172" s="152"/>
      <c r="H172" s="152"/>
    </row>
    <row r="173" ht="13.5">
      <c r="B173" s="153" t="str">
        <f>IF($E$2="","",VLOOKUP($E$2,Sprachversionen!$B:$BN,49,FALSE))</f>
        <v xml:space="preserve">Sonstiges (noch nicht eingelöste Schecks, Vorschüsse, Darlehen, etc.)</v>
      </c>
      <c r="C173" s="154"/>
      <c r="D173" s="155"/>
      <c r="E173" s="156"/>
      <c r="F173" s="152"/>
      <c r="G173" s="152"/>
      <c r="H173" s="152"/>
    </row>
    <row r="177">
      <c r="B177" s="8" t="str">
        <f>IF($E$2="","",VLOOKUP($E$2,Sprachversionen!$B:$BN,50,FALSE))</f>
        <v xml:space="preserve">Ich/Wir bestätige/n die Richtigkeit des vorliegenden Berichts unter Einhaltung des von beiden Partnern unterzeichneten Projektvertrages.</v>
      </c>
      <c r="C177" s="8"/>
      <c r="D177" s="8"/>
      <c r="E177" s="8"/>
      <c r="F177" s="8"/>
    </row>
    <row r="178">
      <c r="B178" s="8" t="str">
        <f>IF($E$2="","",VLOOKUP($E$2,Sprachversionen!$B:$BN,54,FALSE))</f>
        <v xml:space="preserve">Ich/Wir bestätige/n, dass die lokale Eigenleistung monetär ist. </v>
      </c>
      <c r="C178" s="8"/>
      <c r="D178" s="8"/>
      <c r="E178" s="8"/>
      <c r="F178" s="8"/>
    </row>
    <row r="182">
      <c r="B182" s="157"/>
      <c r="C182" s="157"/>
      <c r="D182" s="158"/>
      <c r="E182" s="158"/>
      <c r="F182" s="158"/>
      <c r="G182" s="158"/>
    </row>
    <row r="183">
      <c r="B183" s="159" t="str">
        <f>IF($E$2="","",VLOOKUP($E$2,Sprachversionen!$B:$BN,51,FALSE))</f>
        <v xml:space="preserve">Ort, Datum                  Unterschrift des Projektverantwortlichen</v>
      </c>
      <c r="C183" s="159"/>
      <c r="D183" s="159" t="str">
        <f>IF($E$2="","",VLOOKUP($E$2,Sprachversionen!$B:$BN,52,FALSE))</f>
        <v xml:space="preserve">Unterschrift einer weiteren autorisierten Person</v>
      </c>
      <c r="E183" s="159"/>
      <c r="F183" s="159"/>
      <c r="G183" s="159"/>
      <c r="H183" s="145"/>
    </row>
    <row r="184">
      <c r="B184" s="8"/>
      <c r="C184" s="8"/>
      <c r="D184" s="1" t="str">
        <f>IF($E$2="","",VLOOKUP($E$2,Sprachversionen!$B:$BN,53,FALSE))</f>
        <v xml:space="preserve">Funktion in der Organisation: </v>
      </c>
    </row>
    <row r="189">
      <c r="D189" s="145"/>
      <c r="E189" s="145"/>
      <c r="F189" s="145"/>
      <c r="G189" s="145"/>
      <c r="H189" s="145"/>
      <c r="I189" s="145"/>
      <c r="J189" s="145"/>
      <c r="Q189" s="145"/>
    </row>
  </sheetData>
  <sheetProtection autoFilter="0" deleteColumns="1" deleteRows="1" formatCells="0" formatColumns="0" formatRows="0" insertColumns="1" insertHyperlinks="0" insertRows="1" pivotTables="0" selectLockedCells="0" selectUnlockedCells="0" sheet="0" sort="0"/>
  <mergeCells count="43">
    <mergeCell ref="B1:C1"/>
    <mergeCell ref="B2:C2"/>
    <mergeCell ref="J2:O3"/>
    <mergeCell ref="B3:C3"/>
    <mergeCell ref="J4:O4"/>
    <mergeCell ref="B5:C5"/>
    <mergeCell ref="B6:C7"/>
    <mergeCell ref="D6:H7"/>
    <mergeCell ref="B8:C8"/>
    <mergeCell ref="G8:H8"/>
    <mergeCell ref="B9:C9"/>
    <mergeCell ref="G9:H9"/>
    <mergeCell ref="D11:D14"/>
    <mergeCell ref="E11:E14"/>
    <mergeCell ref="F11:F14"/>
    <mergeCell ref="G11:G14"/>
    <mergeCell ref="H11:H14"/>
    <mergeCell ref="J11:K11"/>
    <mergeCell ref="Q11:R11"/>
    <mergeCell ref="B12:C12"/>
    <mergeCell ref="B13:C13"/>
    <mergeCell ref="B15:C15"/>
    <mergeCell ref="B16:C16"/>
    <mergeCell ref="B17:C17"/>
    <mergeCell ref="B18:C18"/>
    <mergeCell ref="B19:C19"/>
    <mergeCell ref="B20:C20"/>
    <mergeCell ref="D23:D26"/>
    <mergeCell ref="E23:E26"/>
    <mergeCell ref="F23:F26"/>
    <mergeCell ref="G23:G26"/>
    <mergeCell ref="H23:H26"/>
    <mergeCell ref="B24:C24"/>
    <mergeCell ref="B25:C25"/>
    <mergeCell ref="B48:C48"/>
    <mergeCell ref="B70:C70"/>
    <mergeCell ref="B102:C102"/>
    <mergeCell ref="B134:C134"/>
    <mergeCell ref="B156:C156"/>
    <mergeCell ref="B160:C160"/>
    <mergeCell ref="E164:E165"/>
    <mergeCell ref="B165:D165"/>
    <mergeCell ref="B182:C182"/>
  </mergeCells>
  <dataValidations count="2" disablePrompts="0">
    <dataValidation sqref="E2" type="list" allowBlank="1" errorStyle="stop" imeMode="noControl" operator="between" showDropDown="0" showErrorMessage="1" showInputMessage="1">
      <formula1>Sprachversionen!$B$1:$B$5</formula1>
    </dataValidation>
    <dataValidation sqref="E3" type="list" allowBlank="1" errorStyle="stop" imeMode="noControl" operator="between" showDropDown="0" showErrorMessage="1" showInputMessage="1">
      <formula1>Sprachversionen!$A$1:$A$153</formula1>
    </dataValidation>
  </dataValidations>
  <printOptions headings="0" gridLines="0" horizontalCentered="1"/>
  <pageMargins left="0" right="0" top="0" bottom="0" header="0" footer="0"/>
  <pageSetup paperSize="9" scale="55" fitToWidth="1" fitToHeight="1" pageOrder="downThenOver" orientation="portrait" usePrinterDefaults="1" blackAndWhite="0" draft="0" cellComments="none" useFirstPageNumber="0" errors="displayed" horizontalDpi="600" verticalDpi="600" copies="1"/>
  <headerFooter/>
  <colBreaks count="1" manualBreakCount="1">
    <brk id="9" man="1" max="185" min="4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Tabelle2">
    <outlinePr applyStyles="0" summaryBelow="1" summaryRight="1" showOutlineSymbols="1"/>
    <pageSetUpPr autoPageBreaks="1" fitToPage="0"/>
  </sheetPr>
  <sheetViews>
    <sheetView zoomScale="150" workbookViewId="0">
      <pane xSplit="7" ySplit="1" topLeftCell="H2" activePane="bottomRight" state="frozen"/>
      <selection activeCell="C1" activeCellId="0" sqref="C1"/>
    </sheetView>
  </sheetViews>
  <sheetFormatPr baseColWidth="10" defaultColWidth="10.85546875" defaultRowHeight="12"/>
  <cols>
    <col min="1" max="16384" style="160" width="10.85546875"/>
  </cols>
  <sheetData>
    <row r="1" ht="68.450000000000003" customHeight="1">
      <c r="A1" s="160" t="s">
        <v>130</v>
      </c>
      <c r="B1" s="160" t="s">
        <v>0</v>
      </c>
      <c r="C1" s="161" t="s">
        <v>131</v>
      </c>
      <c r="D1" s="161" t="s">
        <v>132</v>
      </c>
      <c r="E1" s="160" t="s">
        <v>133</v>
      </c>
      <c r="F1" s="160" t="s">
        <v>134</v>
      </c>
      <c r="G1" s="160" t="s">
        <v>135</v>
      </c>
      <c r="H1" s="162" t="s">
        <v>136</v>
      </c>
      <c r="I1" s="162" t="s">
        <v>137</v>
      </c>
      <c r="J1" s="160" t="s">
        <v>138</v>
      </c>
      <c r="K1" s="160" t="s">
        <v>139</v>
      </c>
      <c r="L1" s="160" t="s">
        <v>140</v>
      </c>
      <c r="M1" s="160" t="s">
        <v>141</v>
      </c>
      <c r="N1" s="160" t="s">
        <v>142</v>
      </c>
      <c r="O1" s="160" t="s">
        <v>143</v>
      </c>
      <c r="P1" s="160" t="s">
        <v>144</v>
      </c>
      <c r="Q1" s="160" t="s">
        <v>145</v>
      </c>
      <c r="R1" s="160" t="s">
        <v>146</v>
      </c>
      <c r="S1" s="160" t="s">
        <v>147</v>
      </c>
      <c r="T1" s="160" t="s">
        <v>148</v>
      </c>
      <c r="U1" s="160" t="s">
        <v>149</v>
      </c>
      <c r="V1" s="160" t="s">
        <v>150</v>
      </c>
      <c r="W1" s="160" t="s">
        <v>151</v>
      </c>
      <c r="X1" s="160" t="s">
        <v>152</v>
      </c>
      <c r="Y1" s="160" t="s">
        <v>153</v>
      </c>
      <c r="Z1" s="160" t="s">
        <v>154</v>
      </c>
      <c r="AA1" s="160" t="s">
        <v>155</v>
      </c>
      <c r="AB1" s="160" t="s">
        <v>156</v>
      </c>
      <c r="AC1" s="160" t="s">
        <v>157</v>
      </c>
      <c r="AD1" s="163" t="s">
        <v>158</v>
      </c>
      <c r="AE1" s="163" t="s">
        <v>159</v>
      </c>
      <c r="AF1" s="163" t="s">
        <v>160</v>
      </c>
      <c r="AG1" s="163" t="s">
        <v>161</v>
      </c>
      <c r="AH1" s="163" t="s">
        <v>162</v>
      </c>
      <c r="AI1" s="163" t="s">
        <v>163</v>
      </c>
      <c r="AJ1" s="163" t="s">
        <v>164</v>
      </c>
      <c r="AK1" s="163" t="s">
        <v>165</v>
      </c>
      <c r="AL1" s="163" t="s">
        <v>166</v>
      </c>
      <c r="AM1" s="163" t="s">
        <v>167</v>
      </c>
      <c r="AN1" s="163" t="s">
        <v>168</v>
      </c>
      <c r="AO1" s="163" t="s">
        <v>169</v>
      </c>
      <c r="AP1" s="163" t="s">
        <v>170</v>
      </c>
      <c r="AQ1" s="160" t="s">
        <v>171</v>
      </c>
      <c r="AR1" s="160" t="s">
        <v>172</v>
      </c>
      <c r="AS1" s="160" t="s">
        <v>173</v>
      </c>
      <c r="AT1" s="164" t="s">
        <v>174</v>
      </c>
      <c r="AU1" s="164" t="s">
        <v>175</v>
      </c>
      <c r="AV1" s="165" t="s">
        <v>176</v>
      </c>
      <c r="AW1" s="165" t="s">
        <v>177</v>
      </c>
      <c r="AX1" s="165" t="s">
        <v>178</v>
      </c>
      <c r="AY1" s="160" t="s">
        <v>179</v>
      </c>
      <c r="AZ1" s="160" t="s">
        <v>180</v>
      </c>
      <c r="BA1" s="160" t="s">
        <v>181</v>
      </c>
      <c r="BB1" s="160" t="s">
        <v>182</v>
      </c>
      <c r="BC1" s="160" t="s">
        <v>183</v>
      </c>
      <c r="BD1" s="160" t="s">
        <v>184</v>
      </c>
      <c r="BE1" s="160" t="s">
        <v>185</v>
      </c>
      <c r="BF1" s="163" t="s">
        <v>186</v>
      </c>
      <c r="BG1" s="160" t="s">
        <v>187</v>
      </c>
      <c r="BH1" s="163" t="s">
        <v>188</v>
      </c>
      <c r="BI1" s="163" t="s">
        <v>189</v>
      </c>
      <c r="BJ1" s="163" t="s">
        <v>190</v>
      </c>
      <c r="BK1" s="163" t="s">
        <v>191</v>
      </c>
      <c r="BL1" s="163"/>
      <c r="BM1" s="163"/>
      <c r="BN1" s="163"/>
    </row>
    <row r="2" ht="101.09999999999999" customHeight="1">
      <c r="A2" s="160" t="s">
        <v>192</v>
      </c>
      <c r="B2" s="160" t="s">
        <v>193</v>
      </c>
      <c r="C2" s="166" t="s">
        <v>194</v>
      </c>
      <c r="D2" s="161" t="s">
        <v>195</v>
      </c>
      <c r="E2" s="160" t="s">
        <v>196</v>
      </c>
      <c r="F2" s="160" t="s">
        <v>197</v>
      </c>
      <c r="G2" s="160" t="s">
        <v>198</v>
      </c>
      <c r="H2" s="160" t="s">
        <v>199</v>
      </c>
      <c r="I2" s="160" t="s">
        <v>200</v>
      </c>
      <c r="J2" s="160" t="s">
        <v>201</v>
      </c>
      <c r="K2" s="160" t="s">
        <v>202</v>
      </c>
      <c r="L2" s="160" t="s">
        <v>203</v>
      </c>
      <c r="M2" s="160" t="s">
        <v>204</v>
      </c>
      <c r="N2" s="160" t="s">
        <v>205</v>
      </c>
      <c r="O2" s="160" t="s">
        <v>206</v>
      </c>
      <c r="P2" s="160" t="s">
        <v>207</v>
      </c>
      <c r="Q2" s="160" t="s">
        <v>208</v>
      </c>
      <c r="R2" s="160" t="s">
        <v>209</v>
      </c>
      <c r="S2" s="160" t="s">
        <v>210</v>
      </c>
      <c r="T2" s="160" t="s">
        <v>211</v>
      </c>
      <c r="U2" s="160" t="s">
        <v>212</v>
      </c>
      <c r="V2" s="160" t="s">
        <v>213</v>
      </c>
      <c r="W2" s="160" t="s">
        <v>214</v>
      </c>
      <c r="X2" s="160" t="s">
        <v>215</v>
      </c>
      <c r="Y2" s="160" t="s">
        <v>216</v>
      </c>
      <c r="Z2" s="160" t="s">
        <v>217</v>
      </c>
      <c r="AA2" s="160" t="s">
        <v>218</v>
      </c>
      <c r="AB2" s="160" t="s">
        <v>219</v>
      </c>
      <c r="AC2" s="160" t="s">
        <v>220</v>
      </c>
      <c r="AD2" s="163" t="s">
        <v>221</v>
      </c>
      <c r="AE2" s="163" t="s">
        <v>222</v>
      </c>
      <c r="AF2" s="163" t="s">
        <v>223</v>
      </c>
      <c r="AG2" s="163" t="s">
        <v>224</v>
      </c>
      <c r="AH2" s="163" t="s">
        <v>225</v>
      </c>
      <c r="AI2" s="163" t="s">
        <v>226</v>
      </c>
      <c r="AJ2" s="163" t="s">
        <v>227</v>
      </c>
      <c r="AK2" s="163" t="s">
        <v>228</v>
      </c>
      <c r="AL2" s="163" t="s">
        <v>229</v>
      </c>
      <c r="AM2" s="163" t="s">
        <v>230</v>
      </c>
      <c r="AN2" s="163" t="s">
        <v>231</v>
      </c>
      <c r="AO2" s="163" t="s">
        <v>169</v>
      </c>
      <c r="AP2" s="163" t="s">
        <v>232</v>
      </c>
      <c r="AQ2" s="160" t="s">
        <v>213</v>
      </c>
      <c r="AR2" s="160" t="s">
        <v>233</v>
      </c>
      <c r="AS2" s="160" t="s">
        <v>234</v>
      </c>
      <c r="AT2" s="160" t="s">
        <v>235</v>
      </c>
      <c r="AU2" s="160" t="s">
        <v>236</v>
      </c>
      <c r="AV2" s="160" t="s">
        <v>176</v>
      </c>
      <c r="AW2" s="160" t="s">
        <v>237</v>
      </c>
      <c r="AX2" s="160" t="s">
        <v>238</v>
      </c>
      <c r="AY2" s="160" t="s">
        <v>239</v>
      </c>
      <c r="AZ2" s="160" t="s">
        <v>240</v>
      </c>
      <c r="BA2" s="160" t="s">
        <v>241</v>
      </c>
      <c r="BB2" s="160" t="s">
        <v>242</v>
      </c>
      <c r="BC2" s="160" t="s">
        <v>243</v>
      </c>
      <c r="BD2" s="160" t="s">
        <v>244</v>
      </c>
      <c r="BE2" s="160" t="s">
        <v>245</v>
      </c>
      <c r="BF2" s="163" t="s">
        <v>246</v>
      </c>
      <c r="BG2" s="160" t="s">
        <v>247</v>
      </c>
      <c r="BH2" s="163" t="s">
        <v>248</v>
      </c>
      <c r="BI2" s="163" t="s">
        <v>249</v>
      </c>
      <c r="BJ2" s="163" t="s">
        <v>250</v>
      </c>
      <c r="BK2" s="163" t="s">
        <v>251</v>
      </c>
      <c r="BL2" s="163"/>
      <c r="BM2" s="163"/>
      <c r="BN2" s="163"/>
    </row>
    <row r="3" ht="144">
      <c r="A3" s="160" t="s">
        <v>252</v>
      </c>
      <c r="B3" s="160" t="s">
        <v>253</v>
      </c>
      <c r="C3" s="167" t="s">
        <v>254</v>
      </c>
      <c r="D3" s="168" t="s">
        <v>255</v>
      </c>
      <c r="E3" s="160" t="s">
        <v>256</v>
      </c>
      <c r="F3" s="160" t="s">
        <v>257</v>
      </c>
      <c r="G3" s="160" t="s">
        <v>258</v>
      </c>
      <c r="H3" s="160" t="s">
        <v>259</v>
      </c>
      <c r="I3" s="160" t="s">
        <v>259</v>
      </c>
      <c r="J3" s="160" t="s">
        <v>260</v>
      </c>
      <c r="K3" s="160" t="s">
        <v>261</v>
      </c>
      <c r="L3" s="160" t="s">
        <v>262</v>
      </c>
      <c r="M3" s="160" t="s">
        <v>263</v>
      </c>
      <c r="N3" s="160" t="s">
        <v>264</v>
      </c>
      <c r="O3" s="160" t="s">
        <v>265</v>
      </c>
      <c r="P3" s="160" t="s">
        <v>266</v>
      </c>
      <c r="Q3" s="160" t="s">
        <v>267</v>
      </c>
      <c r="R3" s="160" t="s">
        <v>268</v>
      </c>
      <c r="S3" s="160" t="s">
        <v>269</v>
      </c>
      <c r="T3" s="160" t="s">
        <v>270</v>
      </c>
      <c r="U3" s="160" t="s">
        <v>271</v>
      </c>
      <c r="V3" s="160" t="s">
        <v>272</v>
      </c>
      <c r="W3" s="160" t="s">
        <v>214</v>
      </c>
      <c r="X3" s="160" t="s">
        <v>273</v>
      </c>
      <c r="Y3" s="160" t="s">
        <v>274</v>
      </c>
      <c r="Z3" s="160" t="s">
        <v>275</v>
      </c>
      <c r="AA3" s="160" t="s">
        <v>276</v>
      </c>
      <c r="AB3" s="160" t="s">
        <v>277</v>
      </c>
      <c r="AC3" s="160" t="s">
        <v>278</v>
      </c>
      <c r="AD3" s="163" t="s">
        <v>279</v>
      </c>
      <c r="AE3" s="163" t="s">
        <v>280</v>
      </c>
      <c r="AF3" s="163" t="s">
        <v>281</v>
      </c>
      <c r="AG3" s="163" t="s">
        <v>282</v>
      </c>
      <c r="AH3" s="163" t="s">
        <v>283</v>
      </c>
      <c r="AI3" s="163" t="s">
        <v>284</v>
      </c>
      <c r="AJ3" s="163" t="s">
        <v>285</v>
      </c>
      <c r="AK3" s="163" t="s">
        <v>286</v>
      </c>
      <c r="AL3" s="163" t="s">
        <v>287</v>
      </c>
      <c r="AM3" s="163" t="s">
        <v>288</v>
      </c>
      <c r="AN3" s="163" t="s">
        <v>231</v>
      </c>
      <c r="AO3" s="163" t="s">
        <v>169</v>
      </c>
      <c r="AP3" s="163" t="s">
        <v>289</v>
      </c>
      <c r="AQ3" s="160" t="s">
        <v>272</v>
      </c>
      <c r="AR3" s="160" t="s">
        <v>290</v>
      </c>
      <c r="AS3" s="160" t="s">
        <v>291</v>
      </c>
      <c r="AT3" s="160" t="s">
        <v>292</v>
      </c>
      <c r="AU3" s="160" t="s">
        <v>293</v>
      </c>
      <c r="AV3" s="160" t="s">
        <v>294</v>
      </c>
      <c r="AW3" s="160" t="s">
        <v>295</v>
      </c>
      <c r="AX3" s="160" t="s">
        <v>296</v>
      </c>
      <c r="AY3" s="160" t="s">
        <v>297</v>
      </c>
      <c r="AZ3" s="160" t="s">
        <v>298</v>
      </c>
      <c r="BA3" s="160" t="s">
        <v>299</v>
      </c>
      <c r="BB3" s="160" t="s">
        <v>300</v>
      </c>
      <c r="BC3" s="160" t="s">
        <v>301</v>
      </c>
      <c r="BD3" s="160" t="s">
        <v>302</v>
      </c>
      <c r="BE3" s="160" t="s">
        <v>303</v>
      </c>
      <c r="BF3" s="163" t="s">
        <v>304</v>
      </c>
      <c r="BG3" s="160" t="s">
        <v>305</v>
      </c>
      <c r="BH3" s="163" t="s">
        <v>306</v>
      </c>
      <c r="BI3" s="163" t="s">
        <v>307</v>
      </c>
      <c r="BJ3" s="163" t="s">
        <v>308</v>
      </c>
      <c r="BK3" s="163" t="s">
        <v>309</v>
      </c>
      <c r="BL3" s="163"/>
      <c r="BM3" s="163"/>
      <c r="BN3" s="163"/>
    </row>
    <row r="4" ht="156">
      <c r="A4" s="160" t="s">
        <v>310</v>
      </c>
      <c r="B4" s="160" t="s">
        <v>311</v>
      </c>
      <c r="C4" s="160" t="s">
        <v>312</v>
      </c>
      <c r="D4" s="160" t="s">
        <v>313</v>
      </c>
      <c r="E4" s="160" t="s">
        <v>314</v>
      </c>
      <c r="F4" s="160" t="s">
        <v>315</v>
      </c>
      <c r="G4" s="160" t="s">
        <v>316</v>
      </c>
      <c r="H4" s="160" t="s">
        <v>317</v>
      </c>
      <c r="I4" s="160" t="s">
        <v>318</v>
      </c>
      <c r="J4" s="160" t="s">
        <v>319</v>
      </c>
      <c r="K4" s="160" t="s">
        <v>320</v>
      </c>
      <c r="L4" s="160" t="s">
        <v>321</v>
      </c>
      <c r="M4" s="160" t="s">
        <v>322</v>
      </c>
      <c r="N4" s="160" t="s">
        <v>323</v>
      </c>
      <c r="O4" s="160" t="s">
        <v>324</v>
      </c>
      <c r="P4" s="160" t="s">
        <v>325</v>
      </c>
      <c r="Q4" s="160" t="s">
        <v>326</v>
      </c>
      <c r="R4" s="160" t="s">
        <v>327</v>
      </c>
      <c r="S4" s="160" t="s">
        <v>328</v>
      </c>
      <c r="T4" s="160" t="s">
        <v>329</v>
      </c>
      <c r="U4" s="160" t="s">
        <v>330</v>
      </c>
      <c r="V4" s="160" t="s">
        <v>272</v>
      </c>
      <c r="W4" s="160" t="s">
        <v>331</v>
      </c>
      <c r="X4" s="160" t="s">
        <v>332</v>
      </c>
      <c r="Y4" s="160" t="s">
        <v>333</v>
      </c>
      <c r="Z4" s="160" t="s">
        <v>334</v>
      </c>
      <c r="AA4" s="160" t="s">
        <v>335</v>
      </c>
      <c r="AB4" s="160" t="s">
        <v>336</v>
      </c>
      <c r="AC4" s="160" t="s">
        <v>337</v>
      </c>
      <c r="AD4" s="163" t="s">
        <v>338</v>
      </c>
      <c r="AE4" s="163" t="s">
        <v>339</v>
      </c>
      <c r="AF4" s="163" t="s">
        <v>340</v>
      </c>
      <c r="AG4" s="163" t="s">
        <v>341</v>
      </c>
      <c r="AH4" s="163" t="s">
        <v>342</v>
      </c>
      <c r="AI4" s="163" t="s">
        <v>343</v>
      </c>
      <c r="AJ4" s="163" t="s">
        <v>344</v>
      </c>
      <c r="AK4" s="163" t="s">
        <v>345</v>
      </c>
      <c r="AL4" s="163" t="s">
        <v>346</v>
      </c>
      <c r="AM4" s="163" t="s">
        <v>347</v>
      </c>
      <c r="AN4" s="163" t="s">
        <v>348</v>
      </c>
      <c r="AO4" s="163" t="s">
        <v>349</v>
      </c>
      <c r="AP4" s="163" t="s">
        <v>350</v>
      </c>
      <c r="AQ4" s="160" t="s">
        <v>213</v>
      </c>
      <c r="AR4" s="160" t="s">
        <v>351</v>
      </c>
      <c r="AS4" s="160" t="s">
        <v>352</v>
      </c>
      <c r="AT4" s="160" t="s">
        <v>353</v>
      </c>
      <c r="AU4" s="160" t="s">
        <v>354</v>
      </c>
      <c r="AV4" s="160" t="s">
        <v>355</v>
      </c>
      <c r="AW4" s="160" t="s">
        <v>356</v>
      </c>
      <c r="AX4" s="160" t="s">
        <v>357</v>
      </c>
      <c r="AY4" s="160" t="s">
        <v>358</v>
      </c>
      <c r="AZ4" s="160" t="s">
        <v>359</v>
      </c>
      <c r="BA4" s="160" t="s">
        <v>360</v>
      </c>
      <c r="BB4" s="160" t="s">
        <v>361</v>
      </c>
      <c r="BC4" s="160" t="s">
        <v>362</v>
      </c>
      <c r="BD4" s="160" t="s">
        <v>363</v>
      </c>
      <c r="BE4" s="160" t="s">
        <v>364</v>
      </c>
      <c r="BF4" s="163" t="s">
        <v>365</v>
      </c>
      <c r="BG4" s="160" t="s">
        <v>305</v>
      </c>
      <c r="BH4" s="163" t="s">
        <v>366</v>
      </c>
      <c r="BI4" s="163" t="s">
        <v>367</v>
      </c>
      <c r="BJ4" s="163" t="s">
        <v>368</v>
      </c>
      <c r="BK4" s="163" t="s">
        <v>369</v>
      </c>
      <c r="BL4" s="163"/>
      <c r="BM4" s="163"/>
      <c r="BN4" s="163"/>
    </row>
    <row r="5" ht="153">
      <c r="A5" s="160" t="s">
        <v>370</v>
      </c>
      <c r="B5" s="160" t="s">
        <v>371</v>
      </c>
      <c r="C5" s="160" t="s">
        <v>372</v>
      </c>
      <c r="D5" s="160" t="s">
        <v>373</v>
      </c>
      <c r="E5" s="160" t="s">
        <v>374</v>
      </c>
      <c r="F5" s="160" t="s">
        <v>375</v>
      </c>
      <c r="G5" s="160" t="s">
        <v>376</v>
      </c>
      <c r="H5" s="160" t="s">
        <v>317</v>
      </c>
      <c r="I5" s="160" t="s">
        <v>377</v>
      </c>
      <c r="J5" s="160" t="s">
        <v>378</v>
      </c>
      <c r="K5" s="160" t="s">
        <v>379</v>
      </c>
      <c r="L5" s="160" t="s">
        <v>380</v>
      </c>
      <c r="M5" s="160" t="s">
        <v>381</v>
      </c>
      <c r="N5" s="160" t="s">
        <v>382</v>
      </c>
      <c r="O5" s="160" t="s">
        <v>383</v>
      </c>
      <c r="P5" s="160" t="s">
        <v>384</v>
      </c>
      <c r="Q5" s="160" t="s">
        <v>385</v>
      </c>
      <c r="R5" s="160" t="s">
        <v>386</v>
      </c>
      <c r="S5" s="160" t="s">
        <v>387</v>
      </c>
      <c r="T5" s="160" t="s">
        <v>388</v>
      </c>
      <c r="U5" s="160" t="s">
        <v>389</v>
      </c>
      <c r="V5" s="160" t="s">
        <v>272</v>
      </c>
      <c r="W5" s="160" t="s">
        <v>390</v>
      </c>
      <c r="X5" s="160" t="s">
        <v>391</v>
      </c>
      <c r="Y5" s="160" t="s">
        <v>392</v>
      </c>
      <c r="Z5" s="160" t="s">
        <v>393</v>
      </c>
      <c r="AA5" s="160" t="s">
        <v>394</v>
      </c>
      <c r="AB5" s="160" t="s">
        <v>336</v>
      </c>
      <c r="AC5" s="160" t="s">
        <v>395</v>
      </c>
      <c r="AD5" s="163" t="s">
        <v>396</v>
      </c>
      <c r="AE5" s="163" t="s">
        <v>397</v>
      </c>
      <c r="AF5" s="163" t="s">
        <v>398</v>
      </c>
      <c r="AG5" s="163" t="s">
        <v>399</v>
      </c>
      <c r="AH5" s="163" t="s">
        <v>400</v>
      </c>
      <c r="AI5" s="163" t="s">
        <v>401</v>
      </c>
      <c r="AJ5" s="163" t="s">
        <v>402</v>
      </c>
      <c r="AK5" s="163" t="s">
        <v>403</v>
      </c>
      <c r="AL5" s="163" t="s">
        <v>404</v>
      </c>
      <c r="AM5" s="163" t="s">
        <v>405</v>
      </c>
      <c r="AN5" s="163" t="s">
        <v>406</v>
      </c>
      <c r="AO5" s="163" t="s">
        <v>407</v>
      </c>
      <c r="AP5" s="163" t="s">
        <v>408</v>
      </c>
      <c r="AQ5" s="160" t="s">
        <v>213</v>
      </c>
      <c r="AR5" s="160" t="s">
        <v>409</v>
      </c>
      <c r="AS5" s="160" t="s">
        <v>410</v>
      </c>
      <c r="AT5" s="160" t="s">
        <v>411</v>
      </c>
      <c r="AU5" s="160" t="s">
        <v>412</v>
      </c>
      <c r="AV5" s="160" t="s">
        <v>355</v>
      </c>
      <c r="AW5" s="160" t="s">
        <v>413</v>
      </c>
      <c r="AX5" s="160" t="s">
        <v>414</v>
      </c>
      <c r="AY5" s="160" t="s">
        <v>415</v>
      </c>
      <c r="AZ5" s="160" t="s">
        <v>416</v>
      </c>
      <c r="BA5" s="160" t="s">
        <v>417</v>
      </c>
      <c r="BB5" s="160" t="s">
        <v>418</v>
      </c>
      <c r="BC5" s="160" t="s">
        <v>419</v>
      </c>
      <c r="BD5" s="160" t="s">
        <v>420</v>
      </c>
      <c r="BE5" s="160" t="s">
        <v>421</v>
      </c>
      <c r="BF5" s="160" t="s">
        <v>422</v>
      </c>
      <c r="BG5" s="160" t="s">
        <v>305</v>
      </c>
      <c r="BH5" s="163" t="s">
        <v>423</v>
      </c>
      <c r="BI5" t="s">
        <v>424</v>
      </c>
      <c r="BJ5" s="163" t="s">
        <v>425</v>
      </c>
      <c r="BK5" s="163" t="s">
        <v>426</v>
      </c>
      <c r="BL5" s="163"/>
      <c r="BM5" s="163"/>
      <c r="BN5" s="163"/>
    </row>
    <row r="6">
      <c r="A6" s="160" t="s">
        <v>427</v>
      </c>
      <c r="C6" s="160">
        <f>COUNTA(C1:C5)</f>
        <v>5</v>
      </c>
      <c r="D6" s="160">
        <f t="shared" ref="D6:BE6" si="4">COUNTA(D1:D5)</f>
        <v>5</v>
      </c>
      <c r="E6" s="160">
        <f t="shared" si="4"/>
        <v>5</v>
      </c>
      <c r="F6" s="160">
        <f t="shared" si="4"/>
        <v>5</v>
      </c>
      <c r="G6" s="160">
        <f t="shared" si="4"/>
        <v>5</v>
      </c>
      <c r="H6" s="160">
        <f t="shared" si="4"/>
        <v>5</v>
      </c>
      <c r="I6" s="160">
        <f t="shared" si="4"/>
        <v>5</v>
      </c>
      <c r="J6" s="160">
        <f t="shared" si="4"/>
        <v>5</v>
      </c>
      <c r="K6" s="160">
        <f t="shared" si="4"/>
        <v>5</v>
      </c>
      <c r="L6" s="160">
        <f t="shared" si="4"/>
        <v>5</v>
      </c>
      <c r="M6" s="160">
        <f t="shared" si="4"/>
        <v>5</v>
      </c>
      <c r="N6" s="160">
        <f t="shared" si="4"/>
        <v>5</v>
      </c>
      <c r="O6" s="160">
        <f t="shared" si="4"/>
        <v>5</v>
      </c>
      <c r="P6" s="160">
        <f t="shared" si="4"/>
        <v>5</v>
      </c>
      <c r="Q6" s="160">
        <f t="shared" si="4"/>
        <v>5</v>
      </c>
      <c r="R6" s="160">
        <f t="shared" si="4"/>
        <v>5</v>
      </c>
      <c r="S6" s="160">
        <f t="shared" si="4"/>
        <v>5</v>
      </c>
      <c r="T6" s="160">
        <f t="shared" si="4"/>
        <v>5</v>
      </c>
      <c r="U6" s="160">
        <f t="shared" si="4"/>
        <v>5</v>
      </c>
      <c r="V6" s="160">
        <f t="shared" si="4"/>
        <v>5</v>
      </c>
      <c r="W6" s="160">
        <f t="shared" si="4"/>
        <v>5</v>
      </c>
      <c r="X6" s="160">
        <f t="shared" si="4"/>
        <v>5</v>
      </c>
      <c r="Y6" s="160">
        <f t="shared" si="4"/>
        <v>5</v>
      </c>
      <c r="Z6" s="160">
        <f t="shared" si="4"/>
        <v>5</v>
      </c>
      <c r="AA6" s="160">
        <f t="shared" si="4"/>
        <v>5</v>
      </c>
      <c r="AB6" s="160">
        <f t="shared" si="4"/>
        <v>5</v>
      </c>
      <c r="AC6" s="160">
        <f t="shared" si="4"/>
        <v>5</v>
      </c>
      <c r="AD6" s="160">
        <f t="shared" si="4"/>
        <v>5</v>
      </c>
      <c r="AE6" s="160">
        <f t="shared" si="4"/>
        <v>5</v>
      </c>
      <c r="AF6" s="160">
        <f t="shared" si="4"/>
        <v>5</v>
      </c>
      <c r="AG6" s="160">
        <f t="shared" si="4"/>
        <v>5</v>
      </c>
      <c r="AH6" s="160">
        <f t="shared" si="4"/>
        <v>5</v>
      </c>
      <c r="AI6" s="160">
        <f t="shared" si="4"/>
        <v>5</v>
      </c>
      <c r="AJ6" s="160">
        <f t="shared" si="4"/>
        <v>5</v>
      </c>
      <c r="AK6" s="160">
        <f t="shared" si="4"/>
        <v>5</v>
      </c>
      <c r="AL6" s="160">
        <f t="shared" si="4"/>
        <v>5</v>
      </c>
      <c r="AM6" s="160">
        <f t="shared" si="4"/>
        <v>5</v>
      </c>
      <c r="AN6" s="160">
        <f t="shared" si="4"/>
        <v>5</v>
      </c>
      <c r="AO6" s="160">
        <f t="shared" si="4"/>
        <v>5</v>
      </c>
      <c r="AP6" s="160">
        <f t="shared" si="4"/>
        <v>5</v>
      </c>
      <c r="AQ6" s="160">
        <f t="shared" si="4"/>
        <v>5</v>
      </c>
      <c r="AR6" s="160">
        <f t="shared" si="4"/>
        <v>5</v>
      </c>
      <c r="AS6" s="160">
        <f t="shared" si="4"/>
        <v>5</v>
      </c>
      <c r="AT6" s="160">
        <f t="shared" si="4"/>
        <v>5</v>
      </c>
      <c r="AU6" s="160">
        <f t="shared" si="4"/>
        <v>5</v>
      </c>
      <c r="AV6" s="160">
        <f t="shared" si="4"/>
        <v>5</v>
      </c>
      <c r="AW6" s="160">
        <f t="shared" si="4"/>
        <v>5</v>
      </c>
      <c r="AX6" s="160">
        <f t="shared" si="4"/>
        <v>5</v>
      </c>
      <c r="AY6" s="160">
        <f t="shared" si="4"/>
        <v>5</v>
      </c>
      <c r="AZ6" s="160">
        <f t="shared" si="4"/>
        <v>5</v>
      </c>
      <c r="BA6" s="160">
        <f t="shared" si="4"/>
        <v>5</v>
      </c>
      <c r="BB6" s="160">
        <f t="shared" si="4"/>
        <v>5</v>
      </c>
      <c r="BC6" s="160">
        <f t="shared" si="4"/>
        <v>5</v>
      </c>
      <c r="BD6" s="160">
        <f t="shared" si="4"/>
        <v>5</v>
      </c>
      <c r="BE6" s="160">
        <f t="shared" si="4"/>
        <v>5</v>
      </c>
    </row>
    <row r="7">
      <c r="A7" s="160" t="s">
        <v>428</v>
      </c>
    </row>
    <row r="8">
      <c r="A8" s="160" t="s">
        <v>429</v>
      </c>
    </row>
    <row r="9">
      <c r="A9" s="160" t="s">
        <v>430</v>
      </c>
    </row>
    <row r="10">
      <c r="A10" s="160" t="s">
        <v>431</v>
      </c>
    </row>
    <row r="11">
      <c r="A11" s="160" t="s">
        <v>432</v>
      </c>
    </row>
    <row r="12">
      <c r="A12" s="160" t="s">
        <v>433</v>
      </c>
    </row>
    <row r="13">
      <c r="A13" s="160" t="s">
        <v>434</v>
      </c>
    </row>
    <row r="14">
      <c r="A14" s="160" t="s">
        <v>435</v>
      </c>
    </row>
    <row r="15">
      <c r="A15" s="160" t="s">
        <v>436</v>
      </c>
    </row>
    <row r="16">
      <c r="A16" s="160" t="s">
        <v>437</v>
      </c>
    </row>
    <row r="17">
      <c r="A17" s="160" t="s">
        <v>438</v>
      </c>
    </row>
    <row r="18">
      <c r="A18" s="160" t="s">
        <v>439</v>
      </c>
    </row>
    <row r="19">
      <c r="A19" s="160" t="s">
        <v>440</v>
      </c>
    </row>
    <row r="20">
      <c r="A20" s="160" t="s">
        <v>441</v>
      </c>
    </row>
    <row r="21">
      <c r="A21" s="160" t="s">
        <v>442</v>
      </c>
    </row>
    <row r="22">
      <c r="A22" s="160" t="s">
        <v>443</v>
      </c>
    </row>
    <row r="23">
      <c r="A23" s="160" t="s">
        <v>444</v>
      </c>
    </row>
    <row r="24">
      <c r="A24" s="160" t="s">
        <v>445</v>
      </c>
    </row>
    <row r="25">
      <c r="A25" s="160" t="s">
        <v>446</v>
      </c>
    </row>
    <row r="26">
      <c r="A26" s="160" t="s">
        <v>447</v>
      </c>
    </row>
    <row r="27">
      <c r="A27" s="160" t="s">
        <v>448</v>
      </c>
    </row>
    <row r="28">
      <c r="A28" s="160" t="s">
        <v>449</v>
      </c>
    </row>
    <row r="29">
      <c r="A29" s="160" t="s">
        <v>450</v>
      </c>
    </row>
    <row r="30">
      <c r="A30" s="160" t="s">
        <v>451</v>
      </c>
    </row>
    <row r="31">
      <c r="A31" s="160" t="s">
        <v>452</v>
      </c>
    </row>
    <row r="32">
      <c r="A32" s="160" t="s">
        <v>453</v>
      </c>
    </row>
    <row r="33">
      <c r="A33" s="160" t="s">
        <v>454</v>
      </c>
    </row>
    <row r="34">
      <c r="A34" s="160" t="s">
        <v>455</v>
      </c>
    </row>
    <row r="35">
      <c r="A35" s="160" t="s">
        <v>456</v>
      </c>
    </row>
    <row r="36">
      <c r="A36" s="160" t="s">
        <v>457</v>
      </c>
    </row>
    <row r="37">
      <c r="A37" s="160" t="s">
        <v>458</v>
      </c>
    </row>
    <row r="38">
      <c r="A38" s="160" t="s">
        <v>459</v>
      </c>
    </row>
    <row r="39">
      <c r="A39" s="160" t="s">
        <v>460</v>
      </c>
    </row>
    <row r="40">
      <c r="A40" s="160" t="s">
        <v>461</v>
      </c>
    </row>
    <row r="41">
      <c r="A41" s="160" t="s">
        <v>462</v>
      </c>
    </row>
    <row r="42">
      <c r="A42" s="160" t="s">
        <v>463</v>
      </c>
    </row>
    <row r="43">
      <c r="A43" s="160" t="s">
        <v>464</v>
      </c>
    </row>
    <row r="44">
      <c r="A44" s="160" t="s">
        <v>465</v>
      </c>
    </row>
    <row r="45">
      <c r="A45" s="160" t="s">
        <v>466</v>
      </c>
    </row>
    <row r="46">
      <c r="A46" s="160" t="s">
        <v>467</v>
      </c>
    </row>
    <row r="47">
      <c r="A47" s="160" t="s">
        <v>468</v>
      </c>
    </row>
    <row r="48">
      <c r="A48" s="160" t="s">
        <v>469</v>
      </c>
    </row>
    <row r="49">
      <c r="A49" s="160" t="s">
        <v>470</v>
      </c>
    </row>
    <row r="50">
      <c r="A50" s="160" t="s">
        <v>471</v>
      </c>
    </row>
    <row r="51">
      <c r="A51" s="160" t="s">
        <v>472</v>
      </c>
    </row>
    <row r="52">
      <c r="A52" s="160" t="s">
        <v>473</v>
      </c>
    </row>
    <row r="53">
      <c r="A53" s="160" t="s">
        <v>474</v>
      </c>
    </row>
    <row r="54">
      <c r="A54" s="160" t="s">
        <v>475</v>
      </c>
    </row>
    <row r="55">
      <c r="A55" s="160" t="s">
        <v>476</v>
      </c>
    </row>
    <row r="56">
      <c r="A56" s="160" t="s">
        <v>477</v>
      </c>
    </row>
    <row r="57">
      <c r="A57" s="160" t="s">
        <v>478</v>
      </c>
    </row>
    <row r="58">
      <c r="A58" s="160" t="s">
        <v>479</v>
      </c>
    </row>
    <row r="59">
      <c r="A59" s="160" t="s">
        <v>480</v>
      </c>
    </row>
    <row r="60">
      <c r="A60" s="160" t="s">
        <v>481</v>
      </c>
    </row>
    <row r="61">
      <c r="A61" s="160" t="s">
        <v>482</v>
      </c>
    </row>
    <row r="62">
      <c r="A62" s="160" t="s">
        <v>483</v>
      </c>
    </row>
    <row r="63">
      <c r="A63" s="160" t="s">
        <v>484</v>
      </c>
    </row>
    <row r="64">
      <c r="A64" s="160" t="s">
        <v>485</v>
      </c>
    </row>
    <row r="65">
      <c r="A65" s="160" t="s">
        <v>486</v>
      </c>
    </row>
    <row r="66">
      <c r="A66" s="160" t="s">
        <v>487</v>
      </c>
    </row>
    <row r="67">
      <c r="A67" s="160" t="s">
        <v>488</v>
      </c>
    </row>
    <row r="68">
      <c r="A68" s="160" t="s">
        <v>489</v>
      </c>
    </row>
    <row r="69">
      <c r="A69" s="160" t="s">
        <v>490</v>
      </c>
    </row>
    <row r="70">
      <c r="A70" s="160" t="s">
        <v>491</v>
      </c>
    </row>
    <row r="71">
      <c r="A71" s="160" t="s">
        <v>492</v>
      </c>
    </row>
    <row r="72">
      <c r="A72" s="160" t="s">
        <v>493</v>
      </c>
    </row>
    <row r="73">
      <c r="A73" s="160" t="s">
        <v>494</v>
      </c>
    </row>
    <row r="74">
      <c r="A74" s="160" t="s">
        <v>495</v>
      </c>
    </row>
    <row r="75">
      <c r="A75" s="160" t="s">
        <v>496</v>
      </c>
    </row>
    <row r="76">
      <c r="A76" s="160" t="s">
        <v>497</v>
      </c>
    </row>
    <row r="77">
      <c r="A77" s="160" t="s">
        <v>498</v>
      </c>
    </row>
    <row r="78">
      <c r="A78" s="160" t="s">
        <v>499</v>
      </c>
    </row>
    <row r="79">
      <c r="A79" s="160" t="s">
        <v>500</v>
      </c>
    </row>
    <row r="80">
      <c r="A80" s="160" t="s">
        <v>501</v>
      </c>
    </row>
    <row r="81">
      <c r="A81" s="160" t="s">
        <v>502</v>
      </c>
    </row>
    <row r="82">
      <c r="A82" s="160" t="s">
        <v>503</v>
      </c>
    </row>
    <row r="83">
      <c r="A83" s="160" t="s">
        <v>504</v>
      </c>
    </row>
    <row r="84">
      <c r="A84" s="160" t="s">
        <v>505</v>
      </c>
    </row>
    <row r="85">
      <c r="A85" s="160" t="s">
        <v>506</v>
      </c>
    </row>
    <row r="86">
      <c r="A86" s="160" t="s">
        <v>507</v>
      </c>
    </row>
    <row r="87">
      <c r="A87" s="160" t="s">
        <v>508</v>
      </c>
    </row>
    <row r="88">
      <c r="A88" s="160" t="s">
        <v>509</v>
      </c>
    </row>
    <row r="89">
      <c r="A89" s="160" t="s">
        <v>510</v>
      </c>
    </row>
    <row r="90">
      <c r="A90" s="160" t="s">
        <v>511</v>
      </c>
    </row>
    <row r="91">
      <c r="A91" s="160" t="s">
        <v>512</v>
      </c>
    </row>
    <row r="92">
      <c r="A92" s="160" t="s">
        <v>513</v>
      </c>
    </row>
    <row r="93">
      <c r="A93" s="160" t="s">
        <v>514</v>
      </c>
    </row>
    <row r="94">
      <c r="A94" s="160" t="s">
        <v>515</v>
      </c>
    </row>
    <row r="95">
      <c r="A95" s="160" t="s">
        <v>516</v>
      </c>
    </row>
    <row r="96">
      <c r="A96" s="160" t="s">
        <v>517</v>
      </c>
    </row>
    <row r="97">
      <c r="A97" s="160" t="s">
        <v>518</v>
      </c>
    </row>
    <row r="98">
      <c r="A98" s="160" t="s">
        <v>519</v>
      </c>
    </row>
    <row r="99">
      <c r="A99" s="160" t="s">
        <v>520</v>
      </c>
    </row>
    <row r="100">
      <c r="A100" s="160" t="s">
        <v>521</v>
      </c>
    </row>
    <row r="101">
      <c r="A101" s="160" t="s">
        <v>522</v>
      </c>
    </row>
    <row r="102">
      <c r="A102" s="160" t="s">
        <v>523</v>
      </c>
    </row>
    <row r="103">
      <c r="A103" s="160" t="s">
        <v>524</v>
      </c>
    </row>
    <row r="104">
      <c r="A104" s="160" t="s">
        <v>525</v>
      </c>
    </row>
    <row r="105">
      <c r="A105" s="160" t="s">
        <v>526</v>
      </c>
    </row>
    <row r="106">
      <c r="A106" s="160" t="s">
        <v>527</v>
      </c>
    </row>
    <row r="107">
      <c r="A107" s="160" t="s">
        <v>528</v>
      </c>
    </row>
    <row r="108">
      <c r="A108" s="160" t="s">
        <v>529</v>
      </c>
    </row>
    <row r="109">
      <c r="A109" s="160" t="s">
        <v>530</v>
      </c>
    </row>
    <row r="110">
      <c r="A110" s="160" t="s">
        <v>531</v>
      </c>
    </row>
    <row r="111">
      <c r="A111" s="160" t="s">
        <v>532</v>
      </c>
    </row>
    <row r="112">
      <c r="A112" s="160" t="s">
        <v>533</v>
      </c>
    </row>
    <row r="113">
      <c r="A113" s="160" t="s">
        <v>534</v>
      </c>
    </row>
    <row r="114">
      <c r="A114" s="160" t="s">
        <v>535</v>
      </c>
    </row>
    <row r="115">
      <c r="A115" s="160" t="s">
        <v>536</v>
      </c>
    </row>
    <row r="116">
      <c r="A116" s="160" t="s">
        <v>537</v>
      </c>
    </row>
    <row r="117">
      <c r="A117" s="160" t="s">
        <v>538</v>
      </c>
    </row>
    <row r="118">
      <c r="A118" s="160" t="s">
        <v>539</v>
      </c>
    </row>
    <row r="119">
      <c r="A119" s="160" t="s">
        <v>540</v>
      </c>
    </row>
    <row r="120">
      <c r="A120" s="160" t="s">
        <v>541</v>
      </c>
    </row>
    <row r="121">
      <c r="A121" s="160" t="s">
        <v>542</v>
      </c>
    </row>
    <row r="122">
      <c r="A122" s="160" t="s">
        <v>543</v>
      </c>
    </row>
    <row r="123">
      <c r="A123" s="160" t="s">
        <v>544</v>
      </c>
    </row>
    <row r="124">
      <c r="A124" s="160" t="s">
        <v>545</v>
      </c>
    </row>
    <row r="125">
      <c r="A125" s="160" t="s">
        <v>546</v>
      </c>
    </row>
    <row r="126">
      <c r="A126" s="160" t="s">
        <v>547</v>
      </c>
    </row>
    <row r="127">
      <c r="A127" s="160" t="s">
        <v>548</v>
      </c>
    </row>
    <row r="128">
      <c r="A128" s="160" t="s">
        <v>549</v>
      </c>
    </row>
    <row r="129">
      <c r="A129" s="160" t="s">
        <v>550</v>
      </c>
    </row>
    <row r="130">
      <c r="A130" s="160" t="s">
        <v>551</v>
      </c>
    </row>
    <row r="131">
      <c r="A131" s="160" t="s">
        <v>552</v>
      </c>
    </row>
    <row r="132">
      <c r="A132" s="160" t="s">
        <v>553</v>
      </c>
    </row>
    <row r="133">
      <c r="A133" s="160" t="s">
        <v>554</v>
      </c>
    </row>
    <row r="134">
      <c r="A134" s="160" t="s">
        <v>555</v>
      </c>
    </row>
    <row r="135">
      <c r="A135" s="160" t="s">
        <v>556</v>
      </c>
    </row>
    <row r="136">
      <c r="A136" s="160" t="s">
        <v>557</v>
      </c>
    </row>
    <row r="137">
      <c r="A137" s="160" t="s">
        <v>558</v>
      </c>
    </row>
    <row r="138">
      <c r="A138" s="160" t="s">
        <v>559</v>
      </c>
    </row>
    <row r="139">
      <c r="A139" s="160" t="s">
        <v>560</v>
      </c>
    </row>
    <row r="140">
      <c r="A140" s="160" t="s">
        <v>561</v>
      </c>
    </row>
    <row r="141">
      <c r="A141" s="160" t="s">
        <v>562</v>
      </c>
    </row>
    <row r="142">
      <c r="A142" s="160" t="s">
        <v>563</v>
      </c>
    </row>
    <row r="143">
      <c r="A143" s="160" t="s">
        <v>564</v>
      </c>
    </row>
    <row r="144">
      <c r="A144" s="160" t="s">
        <v>565</v>
      </c>
    </row>
    <row r="145">
      <c r="A145" s="160" t="s">
        <v>566</v>
      </c>
    </row>
    <row r="146">
      <c r="A146" s="160" t="s">
        <v>567</v>
      </c>
    </row>
    <row r="147">
      <c r="A147" s="160" t="s">
        <v>568</v>
      </c>
    </row>
    <row r="148">
      <c r="A148" s="160" t="s">
        <v>569</v>
      </c>
    </row>
    <row r="149">
      <c r="A149" s="160" t="s">
        <v>570</v>
      </c>
    </row>
    <row r="150">
      <c r="A150" s="160" t="s">
        <v>571</v>
      </c>
    </row>
    <row r="151">
      <c r="A151" s="160" t="s">
        <v>572</v>
      </c>
    </row>
    <row r="152">
      <c r="A152" s="160" t="s">
        <v>573</v>
      </c>
    </row>
    <row r="153">
      <c r="A153" s="160" t="s">
        <v>574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>EZE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vogt</dc:creator>
  <cp:revision>1</cp:revision>
  <dcterms:created xsi:type="dcterms:W3CDTF">2004-09-16T13:31:06Z</dcterms:created>
  <dcterms:modified xsi:type="dcterms:W3CDTF">2025-12-06T00:23:42Z</dcterms:modified>
</cp:coreProperties>
</file>