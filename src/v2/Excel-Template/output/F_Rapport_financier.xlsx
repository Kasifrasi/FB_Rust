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EB4C" lockStructure="1" lockWindows="0"/>
  <bookViews>
    <workbookView visibility="visible" minimized="0" showHorizontalScroll="1" showVerticalScroll="1" showSheetTabs="1" tabRatio="600" firstSheet="0" activeTab="0" autoFilterDateGrouping="1"/>
  </bookViews>
  <sheets>
    <sheet name="Rapport financier" sheetId="1" state="visible" r:id="rId1"/>
    <sheet name="Sprachversionen" sheetId="2" state="hidden" r:id="rId2"/>
  </sheets>
  <definedNames/>
  <calcPr calcId="124519" fullCalcOnLoad="1"/>
</workbook>
</file>

<file path=xl/styles.xml><?xml version="1.0" encoding="utf-8"?>
<styleSheet xmlns="http://schemas.openxmlformats.org/spreadsheetml/2006/main">
  <numFmts count="1">
    <numFmt numFmtId="164" formatCode="0.0000"/>
  </numFmts>
  <fonts count="10">
    <font>
      <name val="Calibri"/>
      <family val="2"/>
      <color theme="1"/>
      <sz val="11"/>
      <scheme val="minor"/>
    </font>
    <font>
      <name val="Arial"/>
    </font>
    <font>
      <name val="Arial"/>
      <sz val="10"/>
    </font>
    <font>
      <name val="Arial"/>
      <color rgb="000563C1"/>
      <sz val="10"/>
    </font>
    <font>
      <name val="Arial"/>
      <b val="1"/>
      <color rgb="00000000"/>
      <sz val="10"/>
    </font>
    <font>
      <name val="Arial"/>
      <color rgb="00FFFFFF"/>
      <sz val="10"/>
    </font>
    <font/>
    <font>
      <name val="Arial"/>
      <b val="1"/>
      <sz val="10"/>
    </font>
    <font>
      <name val="Arial"/>
      <b val="1"/>
      <color rgb="FFA6A6A6"/>
      <sz val="10"/>
    </font>
    <font>
      <name val="Arial"/>
      <color rgb="FFBFBFBF"/>
      <sz val="10"/>
    </font>
  </fonts>
  <fills count="7">
    <fill>
      <patternFill/>
    </fill>
    <fill>
      <patternFill patternType="gray125"/>
    </fill>
    <fill>
      <patternFill patternType="solid">
        <fgColor rgb="FFFFFAE5"/>
      </patternFill>
    </fill>
    <fill>
      <patternFill patternType="solid">
        <fgColor rgb="00FFCC00"/>
      </patternFill>
    </fill>
    <fill>
      <patternFill patternType="solid">
        <fgColor rgb="00F2F2F2"/>
      </patternFill>
    </fill>
    <fill>
      <patternFill patternType="solid">
        <fgColor rgb="00D9D9D9"/>
      </patternFill>
    </fill>
    <fill>
      <patternFill patternType="solid">
        <fgColor rgb="00FFFFFF"/>
      </patternFill>
    </fill>
  </fills>
  <borders count="77">
    <border>
      <left/>
      <right/>
      <top/>
      <bottom/>
      <diagonal/>
    </border>
    <border>
      <left/>
      <right/>
      <top/>
      <bottom style="thin">
        <color rgb="00000000"/>
      </bottom>
    </border>
    <border>
      <left/>
      <right/>
      <top style="thin">
        <color rgb="00000000"/>
      </top>
      <bottom style="thin">
        <color rgb="00000000"/>
      </bottom>
    </border>
    <border>
      <left/>
      <right/>
      <top/>
      <bottom style="dashed">
        <color rgb="00000000"/>
      </bottom>
    </border>
    <border>
      <left/>
      <right/>
      <top style="dashed">
        <color rgb="00000000"/>
      </top>
      <bottom style="dashed">
        <color rgb="00000000"/>
      </bottom>
    </border>
    <border>
      <left style="dotted">
        <color rgb="00000000"/>
      </left>
      <right style="dotted">
        <color rgb="00000000"/>
      </right>
      <top style="dotted">
        <color rgb="00000000"/>
      </top>
      <bottom style="dotted">
        <color rgb="00000000"/>
      </bottom>
    </border>
    <border>
      <left style="thin">
        <color rgb="00000000"/>
      </left>
      <right style="thin">
        <color rgb="00000000"/>
      </right>
      <top style="thin">
        <color rgb="00000000"/>
      </top>
      <bottom style="thin">
        <color rgb="00000000"/>
      </bottom>
    </border>
    <border>
      <left style="thin">
        <color rgb="00000000"/>
      </left>
      <right/>
      <top style="thin">
        <color rgb="00000000"/>
      </top>
      <bottom/>
    </border>
    <border>
      <left/>
      <right style="thin">
        <color rgb="00000000"/>
      </right>
      <top style="thin">
        <color rgb="00000000"/>
      </top>
      <bottom/>
    </border>
    <border>
      <left style="thin">
        <color rgb="00000000"/>
      </left>
      <right/>
      <top/>
      <bottom/>
    </border>
    <border>
      <left/>
      <right style="thin">
        <color rgb="00000000"/>
      </right>
      <top/>
      <bottom/>
    </border>
    <border>
      <left style="thin">
        <color rgb="00000000"/>
      </left>
      <right/>
      <top/>
      <bottom style="thin">
        <color rgb="00000000"/>
      </bottom>
    </border>
    <border>
      <left/>
      <right style="thin">
        <color rgb="00000000"/>
      </right>
      <top/>
      <bottom style="thin">
        <color rgb="00000000"/>
      </bottom>
    </border>
    <border>
      <left/>
      <right/>
      <top style="thin">
        <color rgb="00000000"/>
      </top>
      <bottom/>
    </border>
    <border>
      <left/>
      <right/>
      <top/>
      <bottom/>
    </border>
    <border>
      <left style="medium">
        <color rgb="00000000"/>
      </left>
      <right/>
      <top style="medium">
        <color rgb="00000000"/>
      </top>
      <bottom/>
    </border>
    <border>
      <left/>
      <right/>
      <top style="medium">
        <color rgb="00000000"/>
      </top>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top/>
      <bottom/>
    </border>
    <border>
      <left style="thin">
        <color rgb="00000000"/>
      </left>
      <right style="medium">
        <color rgb="00000000"/>
      </right>
      <top style="thin">
        <color rgb="00000000"/>
      </top>
      <bottom style="thin">
        <color rgb="00000000"/>
      </bottom>
    </border>
    <border>
      <left style="medium">
        <color rgb="00000000"/>
      </left>
      <right/>
      <top style="thin">
        <color rgb="00000000"/>
      </top>
      <bottom/>
    </border>
    <border>
      <left style="medium">
        <color rgb="00000000"/>
      </left>
      <right/>
      <top/>
      <bottom style="thin">
        <color rgb="00000000"/>
      </bottom>
    </border>
    <border>
      <left style="medium">
        <color rgb="00000000"/>
      </left>
      <right/>
      <top/>
      <bottom style="medium">
        <color rgb="00000000"/>
      </bottom>
    </border>
    <border>
      <left/>
      <right/>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right style="medium">
        <color rgb="00000000"/>
      </right>
      <top style="medium">
        <color rgb="00000000"/>
      </top>
      <bottom/>
    </border>
    <border>
      <left/>
      <right style="medium">
        <color rgb="00000000"/>
      </right>
      <top/>
      <bottom/>
    </border>
    <border>
      <left/>
      <right style="medium">
        <color rgb="00000000"/>
      </right>
      <top/>
      <bottom style="medium">
        <color rgb="00000000"/>
      </bottom>
    </border>
    <border>
      <left style="thin">
        <color rgb="00000000"/>
      </left>
      <right style="thin">
        <color rgb="00000000"/>
      </right>
      <top style="medium">
        <color rgb="00000000"/>
      </top>
      <bottom/>
    </border>
    <border>
      <left style="thin">
        <color rgb="00000000"/>
      </left>
      <right style="medium">
        <color rgb="00000000"/>
      </right>
      <top style="medium">
        <color rgb="00000000"/>
      </top>
      <bottom/>
    </border>
    <border>
      <left style="thin">
        <color rgb="00000000"/>
      </left>
      <right style="thin">
        <color rgb="00000000"/>
      </right>
      <top/>
      <bottom/>
    </border>
    <border>
      <left style="thin">
        <color rgb="00000000"/>
      </left>
      <right style="medium">
        <color rgb="00000000"/>
      </right>
      <top/>
      <bottom/>
    </border>
    <border>
      <left style="thin">
        <color rgb="00000000"/>
      </left>
      <right style="thin">
        <color rgb="00000000"/>
      </right>
      <top/>
      <bottom style="thin">
        <color rgb="00000000"/>
      </bottom>
    </border>
    <border>
      <left style="thin">
        <color rgb="00000000"/>
      </left>
      <right style="medium">
        <color rgb="00000000"/>
      </right>
      <top/>
      <bottom style="thin">
        <color rgb="00000000"/>
      </bottom>
    </border>
    <border>
      <left/>
      <right style="thin">
        <color rgb="00000000"/>
      </right>
      <top style="medium">
        <color rgb="00000000"/>
      </top>
      <bottom/>
    </border>
    <border>
      <left style="medium">
        <color rgb="00000000"/>
      </left>
      <right style="thin">
        <color rgb="00000000"/>
      </right>
      <top/>
      <bottom/>
    </border>
    <border>
      <left/>
      <right style="thin">
        <color rgb="00000000"/>
      </right>
      <top/>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thin">
        <color rgb="00000000"/>
      </left>
      <right style="medium">
        <color rgb="00000000"/>
      </right>
      <top/>
      <bottom/>
      <diagonal/>
    </border>
    <border>
      <left style="thin">
        <color rgb="00000000"/>
      </left>
      <right style="medium">
        <color rgb="00000000"/>
      </right>
      <top/>
      <bottom style="thin">
        <color rgb="00000000"/>
      </bottom>
      <diagonal/>
    </border>
    <border>
      <left style="medium">
        <color rgb="00000000"/>
      </left>
      <right style="medium">
        <color rgb="00000000"/>
      </right>
      <top/>
      <bottom/>
    </border>
    <border>
      <left style="medium">
        <color rgb="00000000"/>
      </left>
      <right/>
      <top/>
      <bottom/>
      <diagonal/>
    </border>
    <border>
      <left/>
      <right style="medium">
        <color rgb="00000000"/>
      </right>
      <top/>
      <bottom/>
      <diagonal/>
    </border>
    <border>
      <left/>
      <right/>
      <top style="thin">
        <color rgb="00000000"/>
      </top>
      <bottom/>
      <diagonal/>
    </border>
    <border>
      <left/>
      <right/>
      <top style="thin">
        <color rgb="00000000"/>
      </top>
      <bottom style="thin">
        <color rgb="00000000"/>
      </bottom>
      <diagonal/>
    </border>
    <border>
      <left style="medium">
        <color rgb="00000000"/>
      </left>
      <right style="medium">
        <color rgb="00000000"/>
      </right>
      <top/>
      <bottom style="medium">
        <color rgb="00000000"/>
      </bottom>
    </border>
    <border>
      <left/>
      <right/>
      <top/>
      <bottom style="medium">
        <color rgb="00000000"/>
      </bottom>
      <diagonal/>
    </border>
    <border>
      <left/>
      <right style="medium">
        <color rgb="00000000"/>
      </right>
      <top/>
      <bottom style="medium">
        <color rgb="00000000"/>
      </bottom>
      <diagonal/>
    </border>
    <border>
      <left style="medium">
        <color rgb="00000000"/>
      </left>
      <right style="thin">
        <color rgb="00000000"/>
      </right>
      <top/>
      <bottom style="thin">
        <color rgb="00000000"/>
      </bottom>
    </border>
    <border>
      <left/>
      <right style="thin">
        <color rgb="00000000"/>
      </right>
      <top/>
      <bottom style="thin">
        <color rgb="00000000"/>
      </bottom>
      <diagonal/>
    </border>
    <border>
      <left/>
      <right/>
      <top/>
      <bottom style="thin">
        <color rgb="00000000"/>
      </bottom>
      <diagonal/>
    </border>
    <border>
      <left style="medium">
        <color rgb="00000000"/>
      </left>
      <right style="thin">
        <color rgb="00000000"/>
      </right>
      <top style="thin">
        <color rgb="00000000"/>
      </top>
      <bottom/>
    </border>
    <border>
      <left/>
      <right style="thin">
        <color rgb="00000000"/>
      </right>
      <top style="thin">
        <color rgb="00000000"/>
      </top>
      <bottom/>
      <diagonal/>
    </border>
    <border/>
    <border>
      <left style="medium">
        <color rgb="00000000"/>
      </left>
      <right style="thin">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medium">
        <color rgb="00000000"/>
      </left>
      <top style="medium">
        <color rgb="00000000"/>
      </top>
    </border>
    <border>
      <top style="medium">
        <color rgb="00000000"/>
      </top>
    </border>
    <border>
      <right style="medium">
        <color rgb="00000000"/>
      </right>
      <top style="medium">
        <color rgb="00000000"/>
      </top>
    </border>
    <border>
      <left style="medium">
        <color rgb="00000000"/>
      </left>
    </border>
    <border>
      <right style="medium">
        <color rgb="00000000"/>
      </right>
    </border>
    <border>
      <left style="medium">
        <color rgb="00000000"/>
      </left>
      <bottom style="medium">
        <color rgb="00000000"/>
      </bottom>
    </border>
    <border>
      <bottom style="medium">
        <color rgb="00000000"/>
      </bottom>
    </border>
    <border>
      <right style="medium">
        <color rgb="00000000"/>
      </right>
      <bottom style="medium">
        <color rgb="00000000"/>
      </bottom>
    </border>
    <border>
      <right style="thin">
        <color rgb="00000000"/>
      </right>
      <top style="medium">
        <color rgb="00000000"/>
      </top>
    </border>
    <border>
      <right style="thin">
        <color rgb="00000000"/>
      </right>
    </border>
    <border>
      <left style="medium">
        <color rgb="00000000"/>
      </left>
      <top style="thin">
        <color rgb="00000000"/>
      </top>
      <bottom style="thin">
        <color rgb="00000000"/>
      </bottom>
    </border>
    <border>
      <top style="thin">
        <color rgb="00000000"/>
      </top>
      <bottom style="thin">
        <color rgb="00000000"/>
      </bottom>
    </border>
    <border>
      <right style="medium">
        <color rgb="00000000"/>
      </right>
      <top style="thin">
        <color rgb="00000000"/>
      </top>
      <bottom style="thin">
        <color rgb="00000000"/>
      </bottom>
    </border>
    <border>
      <left style="medium">
        <color rgb="00000000"/>
      </left>
      <top style="thin">
        <color rgb="00000000"/>
      </top>
      <bottom style="medium">
        <color rgb="00000000"/>
      </bottom>
    </border>
    <border>
      <top style="thin">
        <color rgb="00000000"/>
      </top>
      <bottom style="medium">
        <color rgb="00000000"/>
      </bottom>
    </border>
    <border>
      <right style="medium">
        <color rgb="00000000"/>
      </right>
      <top style="thin">
        <color rgb="00000000"/>
      </top>
      <bottom style="medium">
        <color rgb="00000000"/>
      </bottom>
    </border>
    <border>
      <top style="thin">
        <color rgb="00000000"/>
      </top>
    </border>
  </borders>
  <cellStyleXfs count="1">
    <xf numFmtId="0" fontId="1" fillId="0" borderId="0"/>
  </cellStyleXfs>
  <cellXfs count="169">
    <xf numFmtId="0" fontId="0" fillId="0" borderId="0" pivotButton="0" quotePrefix="0" xfId="0"/>
    <xf numFmtId="0" fontId="2" fillId="0" borderId="0" pivotButton="0" quotePrefix="0" xfId="0"/>
    <xf numFmtId="0" fontId="4" fillId="0" borderId="0" applyAlignment="1" pivotButton="0" quotePrefix="0" xfId="0">
      <alignment horizontal="left" vertical="center"/>
    </xf>
    <xf numFmtId="0" fontId="4" fillId="0" borderId="15" pivotButton="0" quotePrefix="0" xfId="0"/>
    <xf numFmtId="0" fontId="2" fillId="0" borderId="16" pivotButton="0" quotePrefix="0" xfId="0"/>
    <xf numFmtId="0" fontId="2" fillId="0" borderId="27" pivotButton="0" quotePrefix="0" xfId="0"/>
    <xf numFmtId="0" fontId="5" fillId="0" borderId="0" applyAlignment="1" pivotButton="0" quotePrefix="0" xfId="0">
      <alignment horizontal="left" vertical="center"/>
    </xf>
    <xf numFmtId="0" fontId="2" fillId="0" borderId="0" applyAlignment="1" pivotButton="0" quotePrefix="0" xfId="0">
      <alignment horizontal="left" vertical="center"/>
    </xf>
    <xf numFmtId="0" fontId="2" fillId="3" borderId="3" applyAlignment="1" pivotButton="0" quotePrefix="0" xfId="0">
      <alignment horizontal="center"/>
    </xf>
    <xf numFmtId="0" fontId="2" fillId="0" borderId="19" applyAlignment="1" pivotButton="0" quotePrefix="0" xfId="0">
      <alignment horizontal="left" wrapText="1"/>
    </xf>
    <xf numFmtId="0" fontId="0" fillId="0" borderId="14" pivotButton="0" quotePrefix="0" xfId="0"/>
    <xf numFmtId="0" fontId="0" fillId="0" borderId="28" pivotButton="0" quotePrefix="0" xfId="0"/>
    <xf numFmtId="0" fontId="2" fillId="3" borderId="4" applyAlignment="1" pivotButton="0" quotePrefix="0" xfId="0">
      <alignment horizontal="center"/>
    </xf>
    <xf numFmtId="0" fontId="0" fillId="0" borderId="19" pivotButton="0" quotePrefix="0" xfId="0"/>
    <xf numFmtId="0" fontId="3" fillId="0" borderId="23" applyAlignment="1" pivotButton="0" quotePrefix="0" xfId="0">
      <alignment horizontal="left"/>
    </xf>
    <xf numFmtId="0" fontId="0" fillId="0" borderId="24" pivotButton="0" quotePrefix="0" xfId="0"/>
    <xf numFmtId="0" fontId="0" fillId="0" borderId="29" pivotButton="0" quotePrefix="0" xfId="0"/>
    <xf numFmtId="0" fontId="0" fillId="0" borderId="0" applyAlignment="1" pivotButton="0" quotePrefix="0" xfId="0">
      <alignment horizontal="left" vertical="center"/>
    </xf>
    <xf numFmtId="0" fontId="2" fillId="2" borderId="1" pivotButton="0" quotePrefix="0" xfId="0"/>
    <xf numFmtId="0" fontId="3" fillId="0" borderId="0" pivotButton="0" quotePrefix="0" xfId="0"/>
    <xf numFmtId="0" fontId="2" fillId="2" borderId="1" applyAlignment="1" pivotButton="0" quotePrefix="0" xfId="0">
      <alignment horizontal="left" wrapText="1"/>
    </xf>
    <xf numFmtId="0" fontId="0" fillId="0" borderId="1" pivotButton="0" quotePrefix="0" xfId="0"/>
    <xf numFmtId="0" fontId="0" fillId="0" borderId="2" pivotButton="0" quotePrefix="0" xfId="0"/>
    <xf numFmtId="0" fontId="2" fillId="3" borderId="5" pivotButton="0" quotePrefix="0" xfId="0"/>
    <xf numFmtId="0" fontId="2" fillId="0" borderId="2" pivotButton="0" quotePrefix="0" xfId="0"/>
    <xf numFmtId="14" fontId="2" fillId="2" borderId="2" applyAlignment="1" pivotButton="0" quotePrefix="0" xfId="0">
      <alignment horizontal="left"/>
    </xf>
    <xf numFmtId="0" fontId="2" fillId="4" borderId="5" pivotButton="0" quotePrefix="0" xfId="0"/>
    <xf numFmtId="0" fontId="2" fillId="2" borderId="5" pivotButton="0" quotePrefix="0" xfId="0"/>
    <xf numFmtId="0" fontId="2" fillId="0" borderId="15" applyAlignment="1" pivotButton="0" quotePrefix="0" xfId="0">
      <alignment horizontal="center" vertical="center" wrapText="1"/>
    </xf>
    <xf numFmtId="0" fontId="2" fillId="0" borderId="36" applyAlignment="1" pivotButton="0" quotePrefix="0" xfId="0">
      <alignment horizontal="center" vertical="center" wrapText="1"/>
    </xf>
    <xf numFmtId="0" fontId="2" fillId="0" borderId="17" applyAlignment="1" pivotButton="0" quotePrefix="0" xfId="0">
      <alignment horizontal="center" vertical="center" wrapText="1"/>
    </xf>
    <xf numFmtId="0" fontId="4" fillId="0" borderId="17" applyAlignment="1" pivotButton="0" quotePrefix="0" xfId="0">
      <alignment horizontal="center" vertical="center" wrapText="1"/>
    </xf>
    <xf numFmtId="0" fontId="2" fillId="0" borderId="18" applyAlignment="1" pivotButton="0" quotePrefix="0" xfId="0">
      <alignment horizontal="center" vertical="center" wrapText="1"/>
    </xf>
    <xf numFmtId="0" fontId="4" fillId="0" borderId="7" applyAlignment="1" pivotButton="0" quotePrefix="0" xfId="0">
      <alignment horizontal="left"/>
    </xf>
    <xf numFmtId="0" fontId="4" fillId="0" borderId="13" pivotButton="0" quotePrefix="0" xfId="0"/>
    <xf numFmtId="0" fontId="2" fillId="0" borderId="13" pivotButton="0" quotePrefix="0" xfId="0"/>
    <xf numFmtId="0" fontId="2" fillId="0" borderId="8" pivotButton="0" quotePrefix="0" xfId="0"/>
    <xf numFmtId="0" fontId="4" fillId="0" borderId="19" applyAlignment="1" pivotButton="0" quotePrefix="0" xfId="0">
      <alignment horizontal="center" vertical="center" wrapText="1"/>
    </xf>
    <xf numFmtId="0" fontId="4" fillId="0" borderId="10" applyAlignment="1" pivotButton="0" quotePrefix="0" xfId="0">
      <alignment horizontal="center" vertical="center" wrapText="1"/>
    </xf>
    <xf numFmtId="0" fontId="0" fillId="0" borderId="6" applyAlignment="1" pivotButton="0" quotePrefix="0" xfId="0">
      <alignment horizontal="center" vertical="center" wrapText="1"/>
    </xf>
    <xf numFmtId="0" fontId="4" fillId="0" borderId="6" applyAlignment="1" pivotButton="0" quotePrefix="0" xfId="0">
      <alignment horizontal="center" vertical="center" wrapText="1"/>
    </xf>
    <xf numFmtId="0" fontId="0" fillId="0" borderId="20" applyAlignment="1" pivotButton="0" quotePrefix="0" xfId="0">
      <alignment horizontal="center" vertical="center" wrapText="1"/>
    </xf>
    <xf numFmtId="0" fontId="2" fillId="0" borderId="9" pivotButton="0" quotePrefix="0" xfId="0"/>
    <xf numFmtId="0" fontId="2" fillId="0" borderId="14" pivotButton="0" quotePrefix="0" xfId="0"/>
    <xf numFmtId="0" fontId="2" fillId="0" borderId="10" pivotButton="0" quotePrefix="0" xfId="0"/>
    <xf numFmtId="0" fontId="2" fillId="0" borderId="19" applyAlignment="1" pivotButton="0" quotePrefix="0" xfId="0">
      <alignment horizontal="center" vertical="center" wrapText="1"/>
    </xf>
    <xf numFmtId="0" fontId="0" fillId="0" borderId="10" applyAlignment="1" pivotButton="0" quotePrefix="0" xfId="0">
      <alignment horizontal="center" vertical="center" wrapText="1"/>
    </xf>
    <xf numFmtId="0" fontId="4" fillId="0" borderId="14" applyAlignment="1" pivotButton="0" quotePrefix="0" xfId="0">
      <alignment horizontal="center"/>
    </xf>
    <xf numFmtId="0" fontId="4" fillId="0" borderId="10" applyAlignment="1" pivotButton="0" quotePrefix="0" xfId="0">
      <alignment horizontal="center"/>
    </xf>
    <xf numFmtId="0" fontId="2" fillId="0" borderId="10" applyAlignment="1" pivotButton="0" quotePrefix="0" xfId="0">
      <alignment horizontal="center" vertical="center" wrapText="1"/>
    </xf>
    <xf numFmtId="0" fontId="2" fillId="0" borderId="9" applyAlignment="1" pivotButton="0" quotePrefix="0" xfId="0">
      <alignment horizontal="right"/>
    </xf>
    <xf numFmtId="0" fontId="2" fillId="0" borderId="14" applyAlignment="1" pivotButton="0" quotePrefix="0" xfId="0">
      <alignment horizontal="left"/>
    </xf>
    <xf numFmtId="14" fontId="2" fillId="2" borderId="6" pivotButton="0" quotePrefix="0" xfId="0"/>
    <xf numFmtId="4" fontId="2" fillId="2" borderId="6" pivotButton="0" quotePrefix="0" xfId="0"/>
    <xf numFmtId="164" fontId="2" fillId="0" borderId="6" pivotButton="0" quotePrefix="0" xfId="0"/>
    <xf numFmtId="0" fontId="4" fillId="0" borderId="21" applyAlignment="1" pivotButton="0" quotePrefix="0" xfId="0">
      <alignment horizontal="left"/>
    </xf>
    <xf numFmtId="0" fontId="0" fillId="0" borderId="8" pivotButton="0" quotePrefix="0" xfId="0"/>
    <xf numFmtId="4" fontId="2" fillId="4" borderId="6" applyAlignment="1" pivotButton="0" quotePrefix="0" xfId="0">
      <alignment horizontal="right"/>
    </xf>
    <xf numFmtId="4" fontId="2" fillId="2" borderId="6" applyAlignment="1" pivotButton="0" quotePrefix="0" xfId="0">
      <alignment horizontal="right"/>
    </xf>
    <xf numFmtId="0" fontId="2" fillId="0" borderId="6" applyAlignment="1" pivotButton="0" quotePrefix="0" xfId="0">
      <alignment horizontal="right"/>
    </xf>
    <xf numFmtId="0" fontId="2" fillId="2" borderId="20" applyAlignment="1" pivotButton="0" quotePrefix="0" xfId="0">
      <alignment horizontal="left" wrapText="1"/>
    </xf>
    <xf numFmtId="0" fontId="4" fillId="0" borderId="19" applyAlignment="1" pivotButton="0" quotePrefix="0" xfId="0">
      <alignment horizontal="left"/>
    </xf>
    <xf numFmtId="0" fontId="0" fillId="0" borderId="10" pivotButton="0" quotePrefix="0" xfId="0"/>
    <xf numFmtId="9" fontId="2" fillId="0" borderId="6" applyAlignment="1" pivotButton="0" quotePrefix="0" xfId="0">
      <alignment horizontal="right"/>
    </xf>
    <xf numFmtId="0" fontId="4" fillId="0" borderId="22" applyAlignment="1" pivotButton="0" quotePrefix="0" xfId="0">
      <alignment horizontal="left"/>
    </xf>
    <xf numFmtId="0" fontId="0" fillId="0" borderId="12" pivotButton="0" quotePrefix="0" xfId="0"/>
    <xf numFmtId="0" fontId="4" fillId="5" borderId="23" applyAlignment="1" pivotButton="0" quotePrefix="0" xfId="0">
      <alignment horizontal="left"/>
    </xf>
    <xf numFmtId="0" fontId="0" fillId="5" borderId="24" pivotButton="0" quotePrefix="0" xfId="0"/>
    <xf numFmtId="4" fontId="2" fillId="5" borderId="25" applyAlignment="1" pivotButton="0" quotePrefix="0" xfId="0">
      <alignment horizontal="right"/>
    </xf>
    <xf numFmtId="9" fontId="2" fillId="5" borderId="25" applyAlignment="1" pivotButton="0" quotePrefix="0" xfId="0">
      <alignment horizontal="right"/>
    </xf>
    <xf numFmtId="0" fontId="2" fillId="5" borderId="26" applyAlignment="1" pivotButton="0" quotePrefix="0" xfId="0">
      <alignment horizontal="left" wrapText="1"/>
    </xf>
    <xf numFmtId="0" fontId="2" fillId="0" borderId="30" applyAlignment="1" pivotButton="0" quotePrefix="0" xfId="0">
      <alignment horizontal="center" vertical="center" wrapText="1"/>
    </xf>
    <xf numFmtId="0" fontId="4" fillId="0" borderId="30" applyAlignment="1" pivotButton="0" quotePrefix="0" xfId="0">
      <alignment horizontal="center" vertical="center" wrapText="1"/>
    </xf>
    <xf numFmtId="0" fontId="2"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4"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4" applyAlignment="1" pivotButton="0" quotePrefix="0" xfId="0">
      <alignment horizontal="center" vertical="center" wrapText="1"/>
    </xf>
    <xf numFmtId="0" fontId="4" fillId="0" borderId="34" applyAlignment="1" pivotButton="0" quotePrefix="0" xfId="0">
      <alignment horizontal="center" vertical="center" wrapText="1"/>
    </xf>
    <xf numFmtId="0" fontId="0" fillId="0" borderId="35" applyAlignment="1" pivotButton="0" quotePrefix="0" xfId="0">
      <alignment horizontal="center" vertical="center" wrapText="1"/>
    </xf>
    <xf numFmtId="0" fontId="2" fillId="0" borderId="11" applyAlignment="1" pivotButton="0" quotePrefix="0" xfId="0">
      <alignment horizontal="right"/>
    </xf>
    <xf numFmtId="0" fontId="2" fillId="0" borderId="1" applyAlignment="1" pivotButton="0" quotePrefix="0" xfId="0">
      <alignment horizontal="left"/>
    </xf>
    <xf numFmtId="0" fontId="2" fillId="0" borderId="0" applyAlignment="1" pivotButton="0" quotePrefix="0" xfId="0">
      <alignment horizontal="center"/>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4" fontId="2" fillId="0" borderId="0" pivotButton="0" quotePrefix="0" xfId="0"/>
    <xf numFmtId="0" fontId="4" fillId="0" borderId="0" pivotButton="0" quotePrefix="0" xfId="0"/>
    <xf numFmtId="0" fontId="2" fillId="0" borderId="0" applyAlignment="1" pivotButton="0" quotePrefix="0" xfId="0">
      <alignment horizontal="left" wrapText="1"/>
    </xf>
    <xf numFmtId="0" fontId="2" fillId="0" borderId="0" applyAlignment="1" pivotButton="0" quotePrefix="0" xfId="0">
      <alignment horizontal="left"/>
    </xf>
    <xf numFmtId="0" fontId="2" fillId="3" borderId="3" applyAlignment="1" applyProtection="1" pivotButton="0" quotePrefix="0" xfId="0">
      <alignment horizontal="center"/>
      <protection locked="0" hidden="0"/>
    </xf>
    <xf numFmtId="0" fontId="2" fillId="0" borderId="44" applyAlignment="1" pivotButton="0" quotePrefix="0" xfId="0">
      <alignment horizontal="left" wrapText="1"/>
    </xf>
    <xf numFmtId="0" fontId="0" fillId="0" borderId="46" pivotButton="0" quotePrefix="0" xfId="0"/>
    <xf numFmtId="0" fontId="2" fillId="3" borderId="4" applyAlignment="1" applyProtection="1" pivotButton="0" quotePrefix="0" xfId="0">
      <alignment horizontal="center"/>
      <protection locked="0" hidden="0"/>
    </xf>
    <xf numFmtId="0" fontId="0" fillId="0" borderId="45" pivotButton="0" quotePrefix="0" xfId="0"/>
    <xf numFmtId="0" fontId="3" fillId="0" borderId="49" applyAlignment="1" pivotButton="0" quotePrefix="0" xfId="0">
      <alignment horizontal="left"/>
    </xf>
    <xf numFmtId="0" fontId="0" fillId="0" borderId="50" pivotButton="0" quotePrefix="0" xfId="0"/>
    <xf numFmtId="0" fontId="0" fillId="0" borderId="51" pivotButton="0" quotePrefix="0" xfId="0"/>
    <xf numFmtId="0" fontId="2" fillId="2" borderId="1" applyProtection="1" pivotButton="0" quotePrefix="0" xfId="0">
      <protection locked="0" hidden="0"/>
    </xf>
    <xf numFmtId="0" fontId="2" fillId="2" borderId="1" applyAlignment="1" applyProtection="1" pivotButton="0" quotePrefix="0" xfId="0">
      <alignment horizontal="left" wrapText="1"/>
      <protection locked="0" hidden="0"/>
    </xf>
    <xf numFmtId="0" fontId="0" fillId="0" borderId="54" pivotButton="0" quotePrefix="0" xfId="0"/>
    <xf numFmtId="14" fontId="2" fillId="2" borderId="2" applyAlignment="1" applyProtection="1" pivotButton="0" quotePrefix="0" xfId="0">
      <alignment horizontal="left"/>
      <protection locked="0" hidden="0"/>
    </xf>
    <xf numFmtId="0" fontId="0" fillId="0" borderId="48" pivotButton="0" quotePrefix="0" xfId="0"/>
    <xf numFmtId="0" fontId="0" fillId="0" borderId="47" pivotButton="0" quotePrefix="0" xfId="0"/>
    <xf numFmtId="0" fontId="4" fillId="0" borderId="37" applyAlignment="1" pivotButton="0" quotePrefix="0" xfId="0">
      <alignment horizontal="center" vertical="center" wrapText="1"/>
    </xf>
    <xf numFmtId="0" fontId="0" fillId="0" borderId="38" pivotButton="0" quotePrefix="0" xfId="0"/>
    <xf numFmtId="0" fontId="0" fillId="0" borderId="40" pivotButton="0" quotePrefix="0" xfId="0"/>
    <xf numFmtId="0" fontId="0" fillId="0" borderId="42" pivotButton="0" quotePrefix="0" xfId="0"/>
    <xf numFmtId="0" fontId="2" fillId="0" borderId="37" applyAlignment="1" pivotButton="0" quotePrefix="0" xfId="0">
      <alignment horizontal="center" vertical="center" wrapText="1"/>
    </xf>
    <xf numFmtId="0" fontId="0" fillId="0" borderId="41" pivotButton="0" quotePrefix="0" xfId="0"/>
    <xf numFmtId="0" fontId="0" fillId="0" borderId="43" pivotButton="0" quotePrefix="0" xfId="0"/>
    <xf numFmtId="0" fontId="4" fillId="0" borderId="55" applyAlignment="1" pivotButton="0" quotePrefix="0" xfId="0">
      <alignment horizontal="left"/>
    </xf>
    <xf numFmtId="0" fontId="0" fillId="0" borderId="56" pivotButton="0" quotePrefix="0" xfId="0"/>
    <xf numFmtId="4" fontId="2" fillId="4" borderId="6" applyAlignment="1" applyProtection="1" pivotButton="0" quotePrefix="0" xfId="0">
      <alignment horizontal="right"/>
      <protection locked="0" hidden="0"/>
    </xf>
    <xf numFmtId="4" fontId="2" fillId="2" borderId="6" applyAlignment="1" applyProtection="1" pivotButton="0" quotePrefix="0" xfId="0">
      <alignment horizontal="right"/>
      <protection locked="0" hidden="0"/>
    </xf>
    <xf numFmtId="0" fontId="2" fillId="2" borderId="20" applyAlignment="1" applyProtection="1" pivotButton="0" quotePrefix="0" xfId="0">
      <alignment horizontal="left" wrapText="1"/>
      <protection locked="0" hidden="0"/>
    </xf>
    <xf numFmtId="0" fontId="4" fillId="0" borderId="37" applyAlignment="1" pivotButton="0" quotePrefix="0" xfId="0">
      <alignment horizontal="left"/>
    </xf>
    <xf numFmtId="0" fontId="4" fillId="0" borderId="52" applyAlignment="1" pivotButton="0" quotePrefix="0" xfId="0">
      <alignment horizontal="left"/>
    </xf>
    <xf numFmtId="0" fontId="0" fillId="0" borderId="53" pivotButton="0" quotePrefix="0" xfId="0"/>
    <xf numFmtId="0" fontId="6" fillId="0" borderId="57" pivotButton="0" quotePrefix="0" xfId="0"/>
    <xf numFmtId="49" fontId="7" fillId="0" borderId="58" applyAlignment="1" pivotButton="0" quotePrefix="0" xfId="0">
      <alignment horizontal="right" vertical="center"/>
    </xf>
    <xf numFmtId="0" fontId="7" fillId="0" borderId="6" applyAlignment="1" pivotButton="0" quotePrefix="0" xfId="0">
      <alignment horizontal="left" vertical="center"/>
    </xf>
    <xf numFmtId="4" fontId="7" fillId="0" borderId="6" applyAlignment="1" pivotButton="0" quotePrefix="0" xfId="0">
      <alignment horizontal="right" vertical="center" wrapText="1"/>
    </xf>
    <xf numFmtId="9" fontId="7" fillId="0" borderId="6" applyAlignment="1" pivotButton="0" quotePrefix="0" xfId="0">
      <alignment horizontal="right" vertical="center"/>
    </xf>
    <xf numFmtId="0" fontId="7" fillId="0" borderId="20" applyAlignment="1" pivotButton="0" quotePrefix="0" xfId="0">
      <alignment horizontal="left" vertical="center"/>
    </xf>
    <xf numFmtId="49" fontId="2" fillId="0" borderId="58" applyAlignment="1" pivotButton="0" quotePrefix="0" xfId="0">
      <alignment horizontal="right" vertical="center"/>
    </xf>
    <xf numFmtId="0" fontId="2" fillId="2" borderId="6" applyAlignment="1" applyProtection="1" pivotButton="0" quotePrefix="0" xfId="0">
      <alignment horizontal="left" vertical="center" wrapText="1"/>
      <protection locked="0" hidden="0"/>
    </xf>
    <xf numFmtId="4" fontId="2" fillId="4" borderId="6" applyAlignment="1" applyProtection="1" pivotButton="0" quotePrefix="0" xfId="0">
      <alignment horizontal="right" vertical="center" wrapText="1"/>
      <protection locked="0" hidden="0"/>
    </xf>
    <xf numFmtId="4" fontId="2" fillId="2" borderId="6" applyAlignment="1" applyProtection="1" pivotButton="0" quotePrefix="0" xfId="0">
      <alignment horizontal="right" vertical="center" wrapText="1"/>
      <protection locked="0" hidden="0"/>
    </xf>
    <xf numFmtId="4" fontId="2" fillId="2" borderId="6" applyAlignment="1" applyProtection="1" pivotButton="0" quotePrefix="0" xfId="0">
      <alignment horizontal="right" vertical="center"/>
      <protection locked="0" hidden="0"/>
    </xf>
    <xf numFmtId="9" fontId="2" fillId="0" borderId="6" applyAlignment="1" pivotButton="0" quotePrefix="0" xfId="0">
      <alignment horizontal="right" vertical="center"/>
    </xf>
    <xf numFmtId="0" fontId="2" fillId="2" borderId="20" applyAlignment="1" applyProtection="1" pivotButton="0" quotePrefix="0" xfId="0">
      <alignment horizontal="left" vertical="center" wrapText="1"/>
      <protection locked="0" hidden="0"/>
    </xf>
    <xf numFmtId="0" fontId="7" fillId="5" borderId="58" applyAlignment="1" pivotButton="0" quotePrefix="0" xfId="0">
      <alignment horizontal="left" vertical="center"/>
    </xf>
    <xf numFmtId="0" fontId="7" fillId="5" borderId="6" applyAlignment="1" pivotButton="0" quotePrefix="0" xfId="0">
      <alignment horizontal="left" vertical="center"/>
    </xf>
    <xf numFmtId="4" fontId="7" fillId="5" borderId="6" applyAlignment="1" pivotButton="0" quotePrefix="0" xfId="0">
      <alignment horizontal="right" vertical="center"/>
    </xf>
    <xf numFmtId="9" fontId="7" fillId="5" borderId="6" applyAlignment="1" pivotButton="0" quotePrefix="0" xfId="0">
      <alignment horizontal="right" vertical="center"/>
    </xf>
    <xf numFmtId="3" fontId="7" fillId="5" borderId="20" applyAlignment="1" pivotButton="0" quotePrefix="0" xfId="0">
      <alignment horizontal="left" vertical="center"/>
    </xf>
    <xf numFmtId="0" fontId="7" fillId="6" borderId="6" applyAlignment="1" pivotButton="0" quotePrefix="0" xfId="0">
      <alignment horizontal="left" vertical="center"/>
    </xf>
    <xf numFmtId="0" fontId="8" fillId="6" borderId="6" applyAlignment="1" pivotButton="0" quotePrefix="0" xfId="0">
      <alignment horizontal="left" vertical="center"/>
    </xf>
    <xf numFmtId="0" fontId="7" fillId="5" borderId="59" applyAlignment="1" pivotButton="0" quotePrefix="0" xfId="0">
      <alignment horizontal="left" vertical="center"/>
    </xf>
    <xf numFmtId="0" fontId="7" fillId="5" borderId="25" applyAlignment="1" pivotButton="0" quotePrefix="0" xfId="0">
      <alignment horizontal="left" vertical="center"/>
    </xf>
    <xf numFmtId="4" fontId="7" fillId="5" borderId="25" applyAlignment="1" pivotButton="0" quotePrefix="0" xfId="0">
      <alignment horizontal="right" vertical="center"/>
    </xf>
    <xf numFmtId="9" fontId="7" fillId="5" borderId="25" applyAlignment="1" pivotButton="0" quotePrefix="0" xfId="0">
      <alignment horizontal="right" vertical="center"/>
    </xf>
    <xf numFmtId="0" fontId="7" fillId="5" borderId="26" pivotButton="0" quotePrefix="0" xfId="0"/>
    <xf numFmtId="0" fontId="6" fillId="0" borderId="60" pivotButton="0" quotePrefix="0" xfId="0"/>
    <xf numFmtId="0" fontId="6" fillId="0" borderId="61" pivotButton="0" quotePrefix="0" xfId="0"/>
    <xf numFmtId="0" fontId="6" fillId="0" borderId="68" pivotButton="0" quotePrefix="0" xfId="0"/>
    <xf numFmtId="0" fontId="7" fillId="0" borderId="62" applyAlignment="1" pivotButton="0" quotePrefix="0" xfId="0">
      <alignment horizontal="center" vertical="center" wrapText="1"/>
    </xf>
    <xf numFmtId="0" fontId="7" fillId="0" borderId="63" applyAlignment="1" pivotButton="0" quotePrefix="0" xfId="0">
      <alignment horizontal="center" vertical="center"/>
    </xf>
    <xf numFmtId="0" fontId="2" fillId="0" borderId="63" applyAlignment="1" pivotButton="0" quotePrefix="0" xfId="0">
      <alignment horizontal="left" vertical="center"/>
    </xf>
    <xf numFmtId="0" fontId="2" fillId="0" borderId="69" applyAlignment="1" pivotButton="0" quotePrefix="0" xfId="0">
      <alignment horizontal="right" vertical="center"/>
    </xf>
    <xf numFmtId="0" fontId="2" fillId="0" borderId="64" applyAlignment="1" pivotButton="0" quotePrefix="0" xfId="0">
      <alignment horizontal="right" vertical="center"/>
    </xf>
    <xf numFmtId="0" fontId="2" fillId="0" borderId="63" pivotButton="0" quotePrefix="0" xfId="0"/>
    <xf numFmtId="0" fontId="2" fillId="0" borderId="57" pivotButton="0" quotePrefix="0" xfId="0"/>
    <xf numFmtId="0" fontId="2" fillId="0" borderId="69" pivotButton="0" quotePrefix="0" xfId="0"/>
    <xf numFmtId="0" fontId="2" fillId="0" borderId="64" pivotButton="0" quotePrefix="0" xfId="0"/>
    <xf numFmtId="0" fontId="7" fillId="0" borderId="70" applyAlignment="1" pivotButton="0" quotePrefix="0" xfId="0">
      <alignment horizontal="left" vertical="center"/>
    </xf>
    <xf numFmtId="0" fontId="2" fillId="0" borderId="71" pivotButton="0" quotePrefix="0" xfId="0"/>
    <xf numFmtId="0" fontId="2" fillId="0" borderId="71" applyAlignment="1" pivotButton="0" quotePrefix="0" xfId="0">
      <alignment horizontal="center" vertical="center"/>
    </xf>
    <xf numFmtId="4" fontId="2" fillId="0" borderId="72" applyAlignment="1" pivotButton="0" quotePrefix="0" xfId="0">
      <alignment horizontal="right" vertical="center"/>
    </xf>
    <xf numFmtId="0" fontId="7" fillId="0" borderId="63" pivotButton="0" quotePrefix="0" xfId="0"/>
    <xf numFmtId="0" fontId="9" fillId="0" borderId="64" applyAlignment="1" pivotButton="0" quotePrefix="0" xfId="0">
      <alignment horizontal="center" vertical="center"/>
    </xf>
    <xf numFmtId="0" fontId="2" fillId="0" borderId="70" pivotButton="0" quotePrefix="0" xfId="0"/>
    <xf numFmtId="4" fontId="2" fillId="2" borderId="20" applyAlignment="1" applyProtection="1" pivotButton="0" quotePrefix="0" xfId="0">
      <alignment horizontal="right" vertical="center"/>
      <protection locked="0" hidden="0"/>
    </xf>
    <xf numFmtId="0" fontId="2" fillId="0" borderId="73" pivotButton="0" quotePrefix="0" xfId="0"/>
    <xf numFmtId="0" fontId="2" fillId="0" borderId="74" pivotButton="0" quotePrefix="0" xfId="0"/>
    <xf numFmtId="4" fontId="2" fillId="2" borderId="26" applyAlignment="1" applyProtection="1" pivotButton="0" quotePrefix="0" xfId="0">
      <alignment horizontal="right" vertical="center"/>
      <protection locked="0" hidden="0"/>
    </xf>
    <xf numFmtId="0" fontId="7" fillId="0" borderId="76" pivotButton="0" quotePrefix="0" xfId="0"/>
    <xf numFmtId="0" fontId="2" fillId="0" borderId="76" pivotButton="0" quotePrefix="0" xfId="0"/>
    <xf numFmtId="0" fontId="6" fillId="0" borderId="7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applyStyles="0" summaryBelow="1" summaryRight="1"/>
    <pageSetUpPr/>
  </sheetPr>
  <dimension ref="A1:AB315"/>
  <sheetViews>
    <sheetView showGridLines="0" zoomScale="85" workbookViewId="0">
      <pane ySplit="9" topLeftCell="A10" activePane="bottomLeft" state="frozen"/>
      <selection pane="bottomLeft" activeCell="A1" sqref="A1"/>
    </sheetView>
  </sheetViews>
  <sheetFormatPr baseColWidth="8" defaultRowHeight="15"/>
  <cols>
    <col width="3.28515625" customWidth="1" min="1" max="1"/>
    <col width="4.5703125" customWidth="1" min="2" max="2"/>
    <col width="55.85546875" customWidth="1" min="3" max="3"/>
    <col width="20" customWidth="1" min="4" max="4"/>
    <col width="18.5703125" customWidth="1" min="5" max="5"/>
    <col width="18.7109375" customWidth="1" min="6" max="6"/>
    <col width="11.7109375" customWidth="1" min="7" max="7"/>
    <col width="18.7109375" customWidth="1" min="8" max="8"/>
    <col width="4" customWidth="1" min="9" max="9"/>
    <col width="4" customWidth="1" min="10" max="10"/>
    <col width="19.140625" customWidth="1" min="11" max="11"/>
    <col width="10.85546875" customWidth="1" min="12" max="12"/>
    <col width="15" customWidth="1" min="13" max="13"/>
    <col width="15" customWidth="1" min="14" max="14"/>
    <col width="15" customWidth="1" min="15" max="15"/>
    <col width="5" customWidth="1" min="16" max="16"/>
    <col hidden="1" width="4" customWidth="1" min="17" max="22"/>
    <col hidden="1" width="13" customWidth="1" min="18" max="18"/>
    <col hidden="1" width="13" customWidth="1" min="19" max="19"/>
    <col hidden="1" width="13" customWidth="1" min="20" max="20"/>
    <col hidden="1" width="13" customWidth="1" min="21" max="21"/>
    <col hidden="1" width="13" customWidth="1" min="22" max="22"/>
    <col width="4" customWidth="1" min="23" max="23"/>
    <col width="36.7109375" customWidth="1" min="24" max="24"/>
    <col width="10.85546875" customWidth="1" min="25" max="25"/>
    <col width="13" customWidth="1" min="26" max="26"/>
  </cols>
  <sheetData>
    <row r="1">
      <c r="A1" s="1" t="n"/>
      <c r="B1" s="2">
        <f>IF($E$2="","",VLOOKUP($E$2,Sprachversionen!$B:$BN,2,FALSE))</f>
        <v/>
      </c>
      <c r="D1" s="1" t="n"/>
      <c r="E1" s="1" t="n"/>
      <c r="F1" s="1" t="n"/>
      <c r="G1" s="1" t="n"/>
      <c r="H1" s="1" t="n"/>
      <c r="I1" s="1" t="n"/>
      <c r="J1" s="3">
        <f>IF($E$2="","",VLOOKUP($E$2,Sprachversionen!$B:$BN,60,FALSE))</f>
        <v/>
      </c>
      <c r="K1" s="4" t="n"/>
      <c r="L1" s="4" t="n"/>
      <c r="M1" s="4" t="n"/>
      <c r="N1" s="4" t="n"/>
      <c r="O1" s="5" t="n"/>
      <c r="P1" s="1" t="n"/>
      <c r="Q1" s="1" t="n"/>
      <c r="R1" s="1" t="n"/>
      <c r="S1" s="1" t="n"/>
      <c r="T1" s="1" t="n"/>
      <c r="U1" s="1" t="n"/>
      <c r="V1" s="1" t="n"/>
      <c r="W1" s="1" t="n"/>
      <c r="X1" s="1" t="n"/>
      <c r="Y1" s="1" t="n"/>
      <c r="Z1" s="1" t="n"/>
      <c r="AA1" s="1" t="n"/>
      <c r="AB1" s="1" t="n"/>
    </row>
    <row r="2">
      <c r="A2" s="1" t="n"/>
      <c r="B2" s="6" t="inlineStr">
        <is>
          <t>_fr</t>
        </is>
      </c>
      <c r="D2" s="7">
        <f>IF($E$2="","Chose your language",VLOOKUP($E$2,Sprachversionen!$B:$BN,27,FALSE))</f>
        <v/>
      </c>
      <c r="E2" s="89" t="inlineStr">
        <is>
          <t>français</t>
        </is>
      </c>
      <c r="F2" s="1" t="n"/>
      <c r="G2" s="1" t="n"/>
      <c r="H2" s="1" t="n"/>
      <c r="I2" s="1" t="n"/>
      <c r="J2" s="90">
        <f>IF($E$2="","",VLOOKUP($E$2,Sprachversionen!$B:$BN,61,FALSE))</f>
        <v/>
      </c>
      <c r="O2" s="91" t="n"/>
      <c r="P2" s="1" t="n"/>
      <c r="Q2" s="1" t="n"/>
      <c r="R2" s="1" t="n"/>
      <c r="S2" s="1" t="n"/>
      <c r="T2" s="1" t="n"/>
      <c r="U2" s="1" t="n"/>
      <c r="V2" s="1" t="n"/>
      <c r="W2" s="1" t="n"/>
      <c r="X2" s="1" t="n"/>
      <c r="Y2" s="1" t="n"/>
      <c r="Z2" s="1" t="n"/>
      <c r="AA2" s="1" t="n"/>
      <c r="AB2" s="1" t="n"/>
    </row>
    <row r="3" ht="12.75" customHeight="1">
      <c r="A3" s="1" t="n"/>
      <c r="B3" s="2">
        <f>IF($E$2="","",VLOOKUP($E$2,Sprachversionen!$B:$BN,3,FALSE))</f>
        <v/>
      </c>
      <c r="D3" s="7">
        <f>IF($E$2="","",VLOOKUP($E$2,Sprachversionen!$B:$BN,28,FALSE))</f>
        <v/>
      </c>
      <c r="E3" s="92" t="n"/>
      <c r="F3" s="1" t="n"/>
      <c r="G3" s="1" t="n"/>
      <c r="H3" s="1" t="n"/>
      <c r="I3" s="1" t="n"/>
      <c r="J3" s="93" t="n"/>
      <c r="O3" s="91" t="n"/>
      <c r="P3" s="1" t="n"/>
      <c r="Q3" s="1" t="n"/>
      <c r="R3" s="1" t="n"/>
      <c r="S3" s="1" t="n"/>
      <c r="T3" s="1" t="n"/>
      <c r="U3" s="1" t="n"/>
      <c r="V3" s="1" t="n"/>
      <c r="W3" s="1" t="n"/>
      <c r="X3" s="1" t="n"/>
      <c r="Y3" s="1" t="n"/>
      <c r="Z3" s="1" t="n"/>
      <c r="AA3" s="1" t="n"/>
      <c r="AB3" s="1" t="n"/>
    </row>
    <row r="4" ht="12" customHeight="1">
      <c r="A4" s="1" t="n"/>
      <c r="B4" s="7" t="n"/>
      <c r="C4" s="7" t="n"/>
      <c r="D4" s="1" t="n"/>
      <c r="E4" s="1" t="n"/>
      <c r="F4" s="1" t="n"/>
      <c r="G4" s="1" t="n"/>
      <c r="H4" s="1" t="n"/>
      <c r="I4" s="1" t="n"/>
      <c r="J4" s="94">
        <f>HYPERLINK(VLOOKUP($E$2,Sprachversionen!$B:$BN,62,FALSE))</f>
        <v/>
      </c>
      <c r="K4" s="95" t="n"/>
      <c r="L4" s="95" t="n"/>
      <c r="M4" s="95" t="n"/>
      <c r="N4" s="95" t="n"/>
      <c r="O4" s="96" t="n"/>
      <c r="P4" s="1" t="n"/>
      <c r="Q4" s="1" t="n"/>
      <c r="R4" s="1" t="n"/>
      <c r="S4" s="1" t="n"/>
      <c r="T4" s="1" t="n"/>
      <c r="U4" s="1" t="n"/>
      <c r="V4" s="1" t="n"/>
      <c r="W4" s="1" t="n"/>
      <c r="X4" s="1" t="n"/>
      <c r="Y4" s="1" t="n"/>
      <c r="Z4" s="1" t="n"/>
      <c r="AA4" s="1" t="n"/>
      <c r="AB4" s="1" t="n"/>
    </row>
    <row r="5">
      <c r="A5" s="1" t="n"/>
      <c r="B5" s="7">
        <f>IF($E$2="","",VLOOKUP($E$2,Sprachversionen!$B:$BN,4,FALSE))</f>
        <v/>
      </c>
      <c r="D5" s="97" t="n"/>
      <c r="E5" s="1" t="n"/>
      <c r="F5" s="1" t="n"/>
      <c r="G5" s="1" t="n"/>
      <c r="H5" s="1" t="n"/>
      <c r="I5" s="1" t="n"/>
      <c r="J5" s="19" t="n"/>
      <c r="K5" s="1" t="n"/>
      <c r="L5" s="1" t="n"/>
      <c r="M5" s="1" t="n"/>
      <c r="N5" s="1" t="n"/>
      <c r="O5" s="1" t="n"/>
      <c r="P5" s="1" t="n"/>
      <c r="Q5" s="1" t="n"/>
      <c r="R5" s="1" t="n"/>
      <c r="S5" s="1" t="n"/>
      <c r="T5" s="1" t="n"/>
      <c r="U5" s="1" t="n"/>
      <c r="V5" s="1" t="n"/>
      <c r="W5" s="1" t="n"/>
      <c r="X5" s="1" t="n"/>
      <c r="Y5" s="1" t="n"/>
      <c r="Z5" s="1" t="n"/>
      <c r="AA5" s="1" t="n"/>
      <c r="AB5" s="1" t="n"/>
    </row>
    <row r="6">
      <c r="A6" s="1" t="n"/>
      <c r="B6" s="7">
        <f>IF($E$2="","",VLOOKUP($E$2,Sprachversionen!$B:$BN,26,FALSE))</f>
        <v/>
      </c>
      <c r="D6" s="98" t="n"/>
      <c r="I6" s="1" t="n"/>
      <c r="J6" s="1" t="n"/>
      <c r="K6" s="1" t="n"/>
      <c r="L6" s="1" t="n"/>
      <c r="M6" s="1" t="n"/>
      <c r="N6" s="1" t="n"/>
      <c r="O6" s="1" t="n"/>
      <c r="P6" s="1" t="n"/>
      <c r="Q6" s="1" t="n"/>
      <c r="R6" s="1" t="n"/>
      <c r="S6" s="1" t="n"/>
      <c r="T6" s="1" t="n"/>
      <c r="U6" s="1" t="n"/>
      <c r="V6" s="1" t="n"/>
      <c r="W6" s="1" t="n"/>
      <c r="X6" s="1" t="n"/>
      <c r="Y6" s="1" t="n"/>
      <c r="Z6" s="1" t="n"/>
      <c r="AA6" s="1" t="n"/>
      <c r="AB6" s="1" t="n"/>
    </row>
    <row r="7">
      <c r="A7" s="1" t="n"/>
      <c r="D7" s="99" t="n"/>
      <c r="E7" s="99" t="n"/>
      <c r="F7" s="99" t="n"/>
      <c r="G7" s="99" t="n"/>
      <c r="H7" s="99" t="n"/>
      <c r="I7" s="1" t="n"/>
      <c r="J7" s="23" t="n"/>
      <c r="K7" s="1" t="n"/>
      <c r="L7" s="1" t="n"/>
      <c r="M7" s="1" t="n"/>
      <c r="N7" s="1" t="n"/>
      <c r="O7" s="1" t="n"/>
      <c r="P7" s="1" t="n"/>
      <c r="Q7" s="1" t="n"/>
      <c r="R7" s="1" t="n"/>
      <c r="S7" s="1" t="n"/>
      <c r="T7" s="1" t="n"/>
      <c r="U7" s="1" t="n"/>
      <c r="V7" s="1" t="n"/>
      <c r="W7" s="1" t="n"/>
      <c r="X7" s="1" t="n"/>
      <c r="Y7" s="1" t="n"/>
      <c r="Z7" s="1" t="n"/>
      <c r="AA7" s="1" t="n"/>
      <c r="AB7" s="1" t="n"/>
    </row>
    <row r="8">
      <c r="A8" s="1" t="n"/>
      <c r="B8" s="7">
        <f>IF($E$2="","",VLOOKUP($E$2,Sprachversionen!$B:$BN,5,FALSE))</f>
        <v/>
      </c>
      <c r="D8" s="24">
        <f>IF($E$2="","",VLOOKUP($E$2,Sprachversionen!$B:$BN,7,FALSE))</f>
        <v/>
      </c>
      <c r="E8" s="100" t="n"/>
      <c r="F8" s="24">
        <f>IF($E$2="","",VLOOKUP($E$2,Sprachversionen!$B:$BN,8,FALSE))</f>
        <v/>
      </c>
      <c r="G8" s="100" t="n"/>
      <c r="H8" s="101" t="n"/>
      <c r="I8" s="1" t="n"/>
      <c r="J8" s="26" t="n"/>
      <c r="K8" s="1">
        <f>IF($E$2="","",VLOOKUP($E$2,Sprachversionen!$B:$BN,59,FALSE))</f>
        <v/>
      </c>
      <c r="L8" s="1" t="n"/>
      <c r="M8" s="1" t="n"/>
      <c r="N8" s="1" t="n"/>
      <c r="O8" s="1" t="n"/>
      <c r="P8" s="1" t="n"/>
      <c r="Q8" s="1" t="n"/>
      <c r="R8" s="1" t="n"/>
      <c r="S8" s="1" t="n"/>
      <c r="T8" s="1" t="n"/>
      <c r="U8" s="1" t="n"/>
      <c r="V8" s="1" t="n"/>
      <c r="W8" s="1" t="n"/>
      <c r="X8" s="1" t="n"/>
      <c r="Y8" s="1" t="n"/>
      <c r="Z8" s="1" t="n"/>
      <c r="AA8" s="1" t="n"/>
      <c r="AB8" s="1" t="n"/>
    </row>
    <row r="9">
      <c r="A9" s="1" t="n"/>
      <c r="B9" s="7">
        <f>IF($E$2="","",VLOOKUP($E$2,Sprachversionen!$B:$BN,6,FALSE))</f>
        <v/>
      </c>
      <c r="D9" s="24">
        <f>D8</f>
        <v/>
      </c>
      <c r="E9" s="100" t="n"/>
      <c r="F9" s="24">
        <f>F8</f>
        <v/>
      </c>
      <c r="G9" s="100" t="n"/>
      <c r="H9" s="101" t="n"/>
      <c r="I9" s="1" t="n"/>
      <c r="J9" s="27" t="n"/>
      <c r="K9" s="1" t="n"/>
      <c r="L9" s="1" t="n"/>
      <c r="M9" s="1" t="n"/>
      <c r="N9" s="1" t="n"/>
      <c r="O9" s="1" t="n"/>
      <c r="P9" s="1" t="n"/>
      <c r="Q9" s="1" t="n"/>
      <c r="R9" s="1" t="n"/>
      <c r="S9" s="1" t="n"/>
      <c r="T9" s="1" t="n"/>
      <c r="U9" s="1" t="n"/>
      <c r="V9" s="1" t="n"/>
      <c r="W9" s="1" t="n"/>
      <c r="X9" s="1" t="n"/>
      <c r="Y9" s="1" t="n"/>
      <c r="Z9" s="1" t="n"/>
      <c r="AA9" s="1" t="n"/>
      <c r="AB9" s="1" t="n"/>
    </row>
    <row r="10" ht="13.5" customHeight="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row>
    <row r="11" ht="12.6" customHeight="1">
      <c r="A11" s="1" t="n"/>
      <c r="B11" s="28" t="n"/>
      <c r="C11" s="29" t="n"/>
      <c r="D11" s="30">
        <f>IF($E$2="","",VLOOKUP($E$2,Sprachversionen!$B:$BN,11,FALSE))</f>
        <v/>
      </c>
      <c r="E11" s="31">
        <f>IF($E$2="","",VLOOKUP($E$2,Sprachversionen!$B:$BN,12,FALSE))</f>
        <v/>
      </c>
      <c r="F11" s="30">
        <f>IF($E$2="","",VLOOKUP($E$2,Sprachversionen!$B:$BN,13,FALSE))</f>
        <v/>
      </c>
      <c r="G11" s="30">
        <f>IF($E$2="","",VLOOKUP($E$2,Sprachversionen!$B:$BN,14,FALSE))</f>
        <v/>
      </c>
      <c r="H11" s="32">
        <f>IF($E$2="","",VLOOKUP($E$2,Sprachversionen!$B:$BN,15,FALSE))</f>
        <v/>
      </c>
      <c r="I11" s="1" t="n"/>
      <c r="J11" s="33">
        <f>B18</f>
        <v/>
      </c>
      <c r="K11" s="102" t="n"/>
      <c r="L11" s="35" t="n"/>
      <c r="M11" s="35" t="n"/>
      <c r="N11" s="35" t="n"/>
      <c r="O11" s="36" t="n"/>
      <c r="P11" s="1" t="n"/>
      <c r="Q11" s="33">
        <f>B18</f>
        <v/>
      </c>
      <c r="R11" s="102" t="n"/>
      <c r="S11" s="35" t="n"/>
      <c r="T11" s="35" t="n"/>
      <c r="U11" s="35" t="n"/>
      <c r="V11" s="36" t="n"/>
      <c r="W11" s="1" t="n"/>
      <c r="X11" s="1" t="n"/>
      <c r="Y11" s="1" t="n"/>
      <c r="Z11" s="1" t="n"/>
      <c r="AA11" s="1" t="n"/>
      <c r="AB11" s="1" t="n"/>
    </row>
    <row r="12" ht="12.6" customHeight="1">
      <c r="A12" s="1" t="n"/>
      <c r="B12" s="103">
        <f>IF($E$2="","",VLOOKUP($E$2,Sprachversionen!$B:$BN,9,FALSE))</f>
        <v/>
      </c>
      <c r="C12" s="104" t="n"/>
      <c r="D12" s="105" t="n"/>
      <c r="E12" s="105" t="n"/>
      <c r="F12" s="105" t="n"/>
      <c r="G12" s="105" t="n"/>
      <c r="H12" s="106" t="n"/>
      <c r="I12" s="1" t="n"/>
      <c r="J12" s="42" t="n"/>
      <c r="K12" s="43" t="n"/>
      <c r="L12" s="43" t="n"/>
      <c r="M12" s="43" t="n"/>
      <c r="N12" s="43" t="n"/>
      <c r="O12" s="44" t="n"/>
      <c r="P12" s="1" t="n"/>
      <c r="Q12" s="42" t="n"/>
      <c r="R12" s="43" t="n"/>
      <c r="S12" s="43" t="n"/>
      <c r="T12" s="43" t="n"/>
      <c r="U12" s="43" t="n"/>
      <c r="V12" s="44" t="n"/>
      <c r="W12" s="1" t="n"/>
      <c r="X12" s="1" t="n"/>
      <c r="Y12" s="1" t="n"/>
      <c r="Z12" s="1" t="n"/>
      <c r="AA12" s="1" t="n"/>
      <c r="AB12" s="1" t="n"/>
    </row>
    <row r="13" ht="12.6" customHeight="1">
      <c r="A13" s="1" t="n"/>
      <c r="B13" s="107">
        <f>IF($E$2="","",VLOOKUP($E$2,Sprachversionen!$B:$BN,10,FALSE))</f>
        <v/>
      </c>
      <c r="C13" s="104" t="n"/>
      <c r="D13" s="105" t="n"/>
      <c r="E13" s="105" t="n"/>
      <c r="F13" s="105" t="n"/>
      <c r="G13" s="105" t="n"/>
      <c r="H13" s="106" t="n"/>
      <c r="I13" s="1" t="n"/>
      <c r="J13" s="42" t="n"/>
      <c r="K13" s="43" t="n"/>
      <c r="L13" s="47">
        <f>IF($E$2="","",VLOOKUP($E$2,Sprachversionen!$B:$BN,22,FALSE))</f>
        <v/>
      </c>
      <c r="M13" s="47" t="inlineStr">
        <is>
          <t>Euro</t>
        </is>
      </c>
      <c r="N13" s="47">
        <f>IF(E3="",VLOOKUP($E$2,Sprachversionen!$B:$BN,28,FALSE),E3)</f>
        <v/>
      </c>
      <c r="O13" s="48">
        <f>IF($E$2="","",VLOOKUP($E$2,Sprachversionen!$B:$BN,58,FALSE))</f>
        <v/>
      </c>
      <c r="P13" s="1" t="n"/>
      <c r="Q13" s="42" t="n"/>
      <c r="R13" s="43" t="n"/>
      <c r="S13" s="47">
        <f>IF($E$2="","",VLOOKUP($E$2,Sprachversionen!$B:$BN,22,FALSE))</f>
        <v/>
      </c>
      <c r="T13" s="47" t="inlineStr">
        <is>
          <t>Euro</t>
        </is>
      </c>
      <c r="U13" s="47">
        <f>IF(E3="",VLOOKUP($E$2,Sprachversionen!$B:$BN,28,FALSE),E3)</f>
        <v/>
      </c>
      <c r="V13" s="48">
        <f>IF($E$2="","",VLOOKUP($E$2,Sprachversionen!$B:$BN,58,FALSE))</f>
        <v/>
      </c>
      <c r="W13" s="1" t="n"/>
      <c r="X13" s="1" t="n"/>
      <c r="Y13" s="1" t="n"/>
      <c r="Z13" s="1" t="n"/>
      <c r="AA13" s="1" t="n"/>
      <c r="AB13" s="1" t="n"/>
    </row>
    <row r="14">
      <c r="A14" s="1" t="n"/>
      <c r="B14" s="45" t="n"/>
      <c r="C14" s="49" t="n"/>
      <c r="D14" s="108" t="n"/>
      <c r="E14" s="108" t="n"/>
      <c r="F14" s="108" t="n"/>
      <c r="G14" s="108" t="n"/>
      <c r="H14" s="109" t="n"/>
      <c r="I14" s="1" t="n"/>
      <c r="J14" s="50" t="inlineStr">
        <is>
          <t xml:space="preserve">1. </t>
        </is>
      </c>
      <c r="K14" s="51">
        <f>IF($E$2="","",VLOOKUP($E$2,Sprachversionen!$B:$BN,23,FALSE))</f>
        <v/>
      </c>
      <c r="L14" s="52" t="n"/>
      <c r="M14" s="53" t="n"/>
      <c r="N14" s="53" t="n"/>
      <c r="O14" s="54">
        <f>IFERROR(INDEX($N$1:$N$31,ROW())/INDEX($M$1:$M$31,ROW()),"")</f>
        <v/>
      </c>
      <c r="P14" s="1" t="n"/>
      <c r="Q14" s="50" t="inlineStr">
        <is>
          <t xml:space="preserve">19. </t>
        </is>
      </c>
      <c r="R14" s="51">
        <f>IF($E$2="","",VLOOKUP($E$2,Sprachversionen!$B:$BN,23,FALSE))</f>
        <v/>
      </c>
      <c r="S14" s="52" t="n"/>
      <c r="T14" s="53" t="n"/>
      <c r="U14" s="53" t="n"/>
      <c r="V14" s="54">
        <f>IFERROR(INDEX($U$1:$U$31,ROW())/INDEX($T$1:$T$31,ROW()),"")</f>
        <v/>
      </c>
      <c r="W14" s="1" t="n"/>
      <c r="X14" s="1" t="n"/>
      <c r="Y14" s="1" t="n"/>
      <c r="Z14" s="1" t="n"/>
      <c r="AA14" s="1" t="n"/>
      <c r="AB14" s="1" t="n"/>
    </row>
    <row r="15" ht="12.75" customHeight="1">
      <c r="A15" s="1" t="n"/>
      <c r="B15" s="110">
        <f>IF($E$2="","",VLOOKUP($E$2,Sprachversionen!$B:$BN,16,FALSE))</f>
        <v/>
      </c>
      <c r="C15" s="111" t="n"/>
      <c r="D15" s="112" t="n"/>
      <c r="E15" s="113" t="n"/>
      <c r="F15" s="113" t="n"/>
      <c r="G15" s="59" t="n"/>
      <c r="H15" s="114" t="n"/>
      <c r="I15" s="1" t="n"/>
      <c r="J15" s="50" t="inlineStr">
        <is>
          <t xml:space="preserve">2. </t>
        </is>
      </c>
      <c r="K15" s="51">
        <f>IF($E$2="","",VLOOKUP($E$2,Sprachversionen!$B:$BN,23,FALSE))</f>
        <v/>
      </c>
      <c r="L15" s="52" t="n"/>
      <c r="M15" s="53" t="n"/>
      <c r="N15" s="53" t="n"/>
      <c r="O15" s="54">
        <f>IFERROR(INDEX($N$1:$N$31,ROW())/INDEX($M$1:$M$31,ROW()),"")</f>
        <v/>
      </c>
      <c r="P15" s="1" t="n"/>
      <c r="Q15" s="50" t="inlineStr">
        <is>
          <t xml:space="preserve">20. </t>
        </is>
      </c>
      <c r="R15" s="51">
        <f>IF($E$2="","",VLOOKUP($E$2,Sprachversionen!$B:$BN,23,FALSE))</f>
        <v/>
      </c>
      <c r="S15" s="52" t="n"/>
      <c r="T15" s="53" t="n"/>
      <c r="U15" s="53" t="n"/>
      <c r="V15" s="54">
        <f>IFERROR(INDEX($U$1:$U$31,ROW())/INDEX($T$1:$T$31,ROW()),"")</f>
        <v/>
      </c>
      <c r="W15" s="1" t="n"/>
      <c r="X15" s="1" t="n"/>
      <c r="Y15" s="1" t="n"/>
      <c r="Z15" s="1" t="n"/>
      <c r="AA15" s="1" t="n"/>
      <c r="AB15" s="1" t="n"/>
    </row>
    <row r="16" ht="12.75" customHeight="1">
      <c r="A16" s="1" t="n"/>
      <c r="B16" s="115">
        <f>IF($E$2="","",VLOOKUP($E$2,Sprachversionen!$B:$BN,17,FALSE))</f>
        <v/>
      </c>
      <c r="C16" s="104" t="n"/>
      <c r="D16" s="112" t="n">
        <v>0</v>
      </c>
      <c r="E16" s="113" t="n"/>
      <c r="F16" s="113" t="n"/>
      <c r="G16" s="63">
        <f>IFERROR(INDEX($F$1:$F$1001,ROW())/INDEX($D$1:$D$1001,ROW()),0)</f>
        <v/>
      </c>
      <c r="H16" s="114" t="n"/>
      <c r="I16" s="1" t="n"/>
      <c r="J16" s="50" t="inlineStr">
        <is>
          <t xml:space="preserve">3. </t>
        </is>
      </c>
      <c r="K16" s="51">
        <f>IF($E$2="","",VLOOKUP($E$2,Sprachversionen!$B:$BN,23,FALSE))</f>
        <v/>
      </c>
      <c r="L16" s="52" t="n"/>
      <c r="M16" s="53" t="n"/>
      <c r="N16" s="53" t="n"/>
      <c r="O16" s="54">
        <f>IFERROR(INDEX($N$1:$N$31,ROW())/INDEX($M$1:$M$31,ROW()),"")</f>
        <v/>
      </c>
      <c r="P16" s="1" t="n"/>
      <c r="Q16" s="50" t="inlineStr">
        <is>
          <t xml:space="preserve">21. </t>
        </is>
      </c>
      <c r="R16" s="51">
        <f>IF($E$2="","",VLOOKUP($E$2,Sprachversionen!$B:$BN,23,FALSE))</f>
        <v/>
      </c>
      <c r="S16" s="52" t="n"/>
      <c r="T16" s="53" t="n"/>
      <c r="U16" s="53" t="n"/>
      <c r="V16" s="54">
        <f>IFERROR(INDEX($U$1:$U$31,ROW())/INDEX($T$1:$T$31,ROW()),"")</f>
        <v/>
      </c>
      <c r="W16" s="1" t="n"/>
      <c r="X16" s="1" t="n"/>
      <c r="Y16" s="1" t="n"/>
      <c r="Z16" s="1" t="n"/>
      <c r="AA16" s="1" t="n"/>
      <c r="AB16" s="1" t="n"/>
    </row>
    <row r="17" ht="12.75" customHeight="1">
      <c r="A17" s="1" t="n"/>
      <c r="B17" s="115">
        <f>IF($E$2="","",VLOOKUP($E$2,Sprachversionen!$B:$BN,18,FALSE))</f>
        <v/>
      </c>
      <c r="C17" s="104" t="n"/>
      <c r="D17" s="112" t="n">
        <v>0</v>
      </c>
      <c r="E17" s="113" t="n"/>
      <c r="F17" s="113" t="n"/>
      <c r="G17" s="63">
        <f>IFERROR(INDEX($F$1:$F$1001,ROW())/INDEX($D$1:$D$1001,ROW()),0)</f>
        <v/>
      </c>
      <c r="H17" s="114" t="n"/>
      <c r="I17" s="1" t="n"/>
      <c r="J17" s="50" t="inlineStr">
        <is>
          <t xml:space="preserve">4. </t>
        </is>
      </c>
      <c r="K17" s="51">
        <f>IF($E$2="","",VLOOKUP($E$2,Sprachversionen!$B:$BN,23,FALSE))</f>
        <v/>
      </c>
      <c r="L17" s="52" t="n"/>
      <c r="M17" s="53" t="n"/>
      <c r="N17" s="53" t="n"/>
      <c r="O17" s="54">
        <f>IFERROR(INDEX($N$1:$N$31,ROW())/INDEX($M$1:$M$31,ROW()),"")</f>
        <v/>
      </c>
      <c r="P17" s="1" t="n"/>
      <c r="Q17" s="50" t="inlineStr">
        <is>
          <t xml:space="preserve">22. </t>
        </is>
      </c>
      <c r="R17" s="51">
        <f>IF($E$2="","",VLOOKUP($E$2,Sprachversionen!$B:$BN,23,FALSE))</f>
        <v/>
      </c>
      <c r="S17" s="52" t="n"/>
      <c r="T17" s="53" t="n"/>
      <c r="U17" s="53" t="n"/>
      <c r="V17" s="54">
        <f>IFERROR(INDEX($U$1:$U$31,ROW())/INDEX($T$1:$T$31,ROW()),"")</f>
        <v/>
      </c>
      <c r="W17" s="1" t="n"/>
      <c r="X17" s="1" t="n"/>
      <c r="Y17" s="1" t="n"/>
      <c r="Z17" s="1" t="n"/>
      <c r="AA17" s="1" t="n"/>
      <c r="AB17" s="1" t="n"/>
    </row>
    <row r="18" ht="12.75" customHeight="1">
      <c r="A18" s="1" t="n"/>
      <c r="B18" s="115">
        <f>IF($E$2="","",VLOOKUP($E$2,Sprachversionen!$B:$BN,19,FALSE))</f>
        <v/>
      </c>
      <c r="C18" s="104" t="n"/>
      <c r="D18" s="112" t="n">
        <v>0</v>
      </c>
      <c r="E18" s="113" t="n"/>
      <c r="F18" s="113" t="n"/>
      <c r="G18" s="63">
        <f>IFERROR(INDEX($F$1:$F$1001,ROW())/INDEX($D$1:$D$1001,ROW()),0)</f>
        <v/>
      </c>
      <c r="H18" s="114" t="n"/>
      <c r="I18" s="1" t="n"/>
      <c r="J18" s="50" t="inlineStr">
        <is>
          <t xml:space="preserve">5. </t>
        </is>
      </c>
      <c r="K18" s="51">
        <f>IF($E$2="","",VLOOKUP($E$2,Sprachversionen!$B:$BN,23,FALSE))</f>
        <v/>
      </c>
      <c r="L18" s="52" t="n"/>
      <c r="M18" s="53" t="n"/>
      <c r="N18" s="53" t="n"/>
      <c r="O18" s="54">
        <f>IFERROR(INDEX($N$1:$N$31,ROW())/INDEX($M$1:$M$31,ROW()),"")</f>
        <v/>
      </c>
      <c r="P18" s="1" t="n"/>
      <c r="Q18" s="50" t="inlineStr">
        <is>
          <t xml:space="preserve">23. </t>
        </is>
      </c>
      <c r="R18" s="51">
        <f>IF($E$2="","",VLOOKUP($E$2,Sprachversionen!$B:$BN,23,FALSE))</f>
        <v/>
      </c>
      <c r="S18" s="52" t="n"/>
      <c r="T18" s="53" t="n"/>
      <c r="U18" s="53" t="n"/>
      <c r="V18" s="54">
        <f>IFERROR(INDEX($U$1:$U$31,ROW())/INDEX($T$1:$T$31,ROW()),"")</f>
        <v/>
      </c>
      <c r="W18" s="1" t="n"/>
      <c r="X18" s="1" t="n"/>
      <c r="Y18" s="1" t="n"/>
      <c r="Z18" s="1" t="n"/>
      <c r="AA18" s="1" t="n"/>
      <c r="AB18" s="1" t="n"/>
    </row>
    <row r="19" ht="12.75" customHeight="1">
      <c r="A19" s="1" t="n"/>
      <c r="B19" s="116">
        <f>IF($E$2="","",VLOOKUP($E$2,Sprachversionen!$B:$BN,20,FALSE))</f>
        <v/>
      </c>
      <c r="C19" s="117" t="n"/>
      <c r="D19" s="112" t="n">
        <v>0</v>
      </c>
      <c r="E19" s="113" t="n"/>
      <c r="F19" s="113" t="n"/>
      <c r="G19" s="63">
        <f>IFERROR(INDEX($F$1:$F$1001,ROW())/INDEX($D$1:$D$1001,ROW()),0)</f>
        <v/>
      </c>
      <c r="H19" s="114" t="n"/>
      <c r="I19" s="1" t="n"/>
      <c r="J19" s="50" t="inlineStr">
        <is>
          <t xml:space="preserve">6. </t>
        </is>
      </c>
      <c r="K19" s="51">
        <f>IF($E$2="","",VLOOKUP($E$2,Sprachversionen!$B:$BN,23,FALSE))</f>
        <v/>
      </c>
      <c r="L19" s="52" t="n"/>
      <c r="M19" s="53" t="n"/>
      <c r="N19" s="53" t="n"/>
      <c r="O19" s="54">
        <f>IFERROR(INDEX($N$1:$N$31,ROW())/INDEX($M$1:$M$31,ROW()),"")</f>
        <v/>
      </c>
      <c r="P19" s="1" t="n"/>
      <c r="Q19" s="50" t="inlineStr">
        <is>
          <t xml:space="preserve">24. </t>
        </is>
      </c>
      <c r="R19" s="51">
        <f>IF($E$2="","",VLOOKUP($E$2,Sprachversionen!$B:$BN,23,FALSE))</f>
        <v/>
      </c>
      <c r="S19" s="52" t="n"/>
      <c r="T19" s="53" t="n"/>
      <c r="U19" s="53" t="n"/>
      <c r="V19" s="54">
        <f>IFERROR(INDEX($U$1:$U$31,ROW())/INDEX($T$1:$T$31,ROW()),"")</f>
        <v/>
      </c>
      <c r="W19" s="1" t="n"/>
      <c r="X19" s="1" t="n"/>
      <c r="Y19" s="1" t="n"/>
      <c r="Z19" s="1" t="n"/>
      <c r="AA19" s="1" t="n"/>
      <c r="AB19" s="1" t="n"/>
    </row>
    <row r="20" ht="13.5" customHeight="1">
      <c r="A20" s="1" t="n"/>
      <c r="B20" s="66">
        <f>IF($E$2="","",VLOOKUP($E$2,Sprachversionen!$B:$BN,21,FALSE))</f>
        <v/>
      </c>
      <c r="C20" s="95" t="n"/>
      <c r="D20" s="68">
        <f>SUMPRODUCT(ROUND(D15:D19, 2))</f>
        <v/>
      </c>
      <c r="E20" s="68">
        <f>SUMPRODUCT(ROUND(E15:E19, 2))</f>
        <v/>
      </c>
      <c r="F20" s="68">
        <f>SUMPRODUCT(ROUND(F15:F19, 2))</f>
        <v/>
      </c>
      <c r="G20" s="69">
        <f>IFERROR(INDEX($F$1:$F$1001,ROW())/INDEX($D$1:$D$1001,ROW()),0)</f>
        <v/>
      </c>
      <c r="H20" s="70" t="n"/>
      <c r="I20" s="1" t="n"/>
      <c r="J20" s="50" t="inlineStr">
        <is>
          <t xml:space="preserve">7. </t>
        </is>
      </c>
      <c r="K20" s="51">
        <f>IF($E$2="","",VLOOKUP($E$2,Sprachversionen!$B:$BN,23,FALSE))</f>
        <v/>
      </c>
      <c r="L20" s="52" t="n"/>
      <c r="M20" s="53" t="n"/>
      <c r="N20" s="53" t="n"/>
      <c r="O20" s="54">
        <f>IFERROR(INDEX($N$1:$N$31,ROW())/INDEX($M$1:$M$31,ROW()),"")</f>
        <v/>
      </c>
      <c r="P20" s="1" t="n"/>
      <c r="Q20" s="50" t="inlineStr">
        <is>
          <t xml:space="preserve">25. </t>
        </is>
      </c>
      <c r="R20" s="51">
        <f>IF($E$2="","",VLOOKUP($E$2,Sprachversionen!$B:$BN,23,FALSE))</f>
        <v/>
      </c>
      <c r="S20" s="52" t="n"/>
      <c r="T20" s="53" t="n"/>
      <c r="U20" s="53" t="n"/>
      <c r="V20" s="54">
        <f>IFERROR(INDEX($U$1:$U$31,ROW())/INDEX($T$1:$T$31,ROW()),"")</f>
        <v/>
      </c>
      <c r="W20" s="1" t="n"/>
      <c r="X20" s="1" t="n"/>
      <c r="Y20" s="1" t="n"/>
      <c r="Z20" s="1" t="n"/>
      <c r="AA20" s="1" t="n"/>
      <c r="AB20" s="1" t="n"/>
    </row>
    <row r="21">
      <c r="A21" s="1" t="n"/>
      <c r="B21" s="1" t="n"/>
      <c r="C21" s="1" t="n"/>
      <c r="D21" s="1" t="n"/>
      <c r="E21" s="1" t="n"/>
      <c r="F21" s="1" t="n"/>
      <c r="G21" s="1" t="n"/>
      <c r="H21" s="1" t="n"/>
      <c r="I21" s="1" t="n"/>
      <c r="J21" s="50" t="inlineStr">
        <is>
          <t xml:space="preserve">8. </t>
        </is>
      </c>
      <c r="K21" s="51">
        <f>IF($E$2="","",VLOOKUP($E$2,Sprachversionen!$B:$BN,23,FALSE))</f>
        <v/>
      </c>
      <c r="L21" s="52" t="n"/>
      <c r="M21" s="53" t="n"/>
      <c r="N21" s="53" t="n"/>
      <c r="O21" s="54">
        <f>IFERROR(INDEX($N$1:$N$31,ROW())/INDEX($M$1:$M$31,ROW()),"")</f>
        <v/>
      </c>
      <c r="P21" s="1" t="n"/>
      <c r="Q21" s="50" t="inlineStr">
        <is>
          <t xml:space="preserve">26. </t>
        </is>
      </c>
      <c r="R21" s="51">
        <f>IF($E$2="","",VLOOKUP($E$2,Sprachversionen!$B:$BN,23,FALSE))</f>
        <v/>
      </c>
      <c r="S21" s="52" t="n"/>
      <c r="T21" s="53" t="n"/>
      <c r="U21" s="53" t="n"/>
      <c r="V21" s="54">
        <f>IFERROR(INDEX($U$1:$U$31,ROW())/INDEX($T$1:$T$31,ROW()),"")</f>
        <v/>
      </c>
      <c r="W21" s="1" t="n"/>
      <c r="X21" s="1" t="n"/>
      <c r="Y21" s="1" t="n"/>
      <c r="Z21" s="1" t="n"/>
      <c r="AA21" s="1" t="n"/>
      <c r="AB21" s="1" t="n"/>
    </row>
    <row r="22" ht="13.5" customHeight="1">
      <c r="A22" s="1" t="n"/>
      <c r="B22" s="1" t="n"/>
      <c r="C22" s="1" t="n"/>
      <c r="D22" s="1" t="n"/>
      <c r="E22" s="1" t="n"/>
      <c r="F22" s="1" t="n"/>
      <c r="G22" s="1" t="n"/>
      <c r="H22" s="1" t="n"/>
      <c r="I22" s="1" t="n"/>
      <c r="J22" s="50" t="inlineStr">
        <is>
          <t xml:space="preserve">9. </t>
        </is>
      </c>
      <c r="K22" s="51">
        <f>IF($E$2="","",VLOOKUP($E$2,Sprachversionen!$B:$BN,23,FALSE))</f>
        <v/>
      </c>
      <c r="L22" s="52" t="n"/>
      <c r="M22" s="53" t="n"/>
      <c r="N22" s="53" t="n"/>
      <c r="O22" s="54">
        <f>IFERROR(INDEX($N$1:$N$31,ROW())/INDEX($M$1:$M$31,ROW()),"")</f>
        <v/>
      </c>
      <c r="P22" s="1" t="n"/>
      <c r="Q22" s="50" t="inlineStr">
        <is>
          <t xml:space="preserve">27. </t>
        </is>
      </c>
      <c r="R22" s="51">
        <f>IF($E$2="","",VLOOKUP($E$2,Sprachversionen!$B:$BN,23,FALSE))</f>
        <v/>
      </c>
      <c r="S22" s="52" t="n"/>
      <c r="T22" s="53" t="n"/>
      <c r="U22" s="53" t="n"/>
      <c r="V22" s="54">
        <f>IFERROR(INDEX($U$1:$U$31,ROW())/INDEX($T$1:$T$31,ROW()),"")</f>
        <v/>
      </c>
      <c r="W22" s="1" t="n"/>
      <c r="X22" s="1" t="n"/>
      <c r="Y22" s="1" t="n"/>
      <c r="Z22" s="1" t="n"/>
      <c r="AA22" s="1" t="n"/>
      <c r="AB22" s="1" t="n"/>
    </row>
    <row r="23" ht="12.6" customHeight="1">
      <c r="A23" s="1" t="n"/>
      <c r="B23" s="28" t="n"/>
      <c r="C23" s="29" t="n"/>
      <c r="D23" s="30">
        <f>D11</f>
        <v/>
      </c>
      <c r="E23" s="31">
        <f>IF($E$2="","",VLOOKUP($E$2,Sprachversionen!$B:$BN,25,FALSE))</f>
        <v/>
      </c>
      <c r="F23" s="30">
        <f>IF($E$2="","",VLOOKUP($E$2,Sprachversionen!$B:$BN,55,FALSE))</f>
        <v/>
      </c>
      <c r="G23" s="30">
        <f>IF($E$2="","",VLOOKUP($E$2,Sprachversionen!$B:$BN,56,FALSE))</f>
        <v/>
      </c>
      <c r="H23" s="32">
        <f>H11</f>
        <v/>
      </c>
      <c r="I23" s="1" t="n"/>
      <c r="J23" s="50" t="inlineStr">
        <is>
          <t xml:space="preserve">10. </t>
        </is>
      </c>
      <c r="K23" s="51">
        <f>IF($E$2="","",VLOOKUP($E$2,Sprachversionen!$B:$BN,23,FALSE))</f>
        <v/>
      </c>
      <c r="L23" s="52" t="n"/>
      <c r="M23" s="53" t="n"/>
      <c r="N23" s="53" t="n"/>
      <c r="O23" s="54">
        <f>IFERROR(INDEX($N$1:$N$31,ROW())/INDEX($M$1:$M$31,ROW()),"")</f>
        <v/>
      </c>
      <c r="P23" s="1" t="n"/>
      <c r="Q23" s="50" t="inlineStr">
        <is>
          <t xml:space="preserve">28. </t>
        </is>
      </c>
      <c r="R23" s="51">
        <f>IF($E$2="","",VLOOKUP($E$2,Sprachversionen!$B:$BN,23,FALSE))</f>
        <v/>
      </c>
      <c r="S23" s="52" t="n"/>
      <c r="T23" s="53" t="n"/>
      <c r="U23" s="53" t="n"/>
      <c r="V23" s="54">
        <f>IFERROR(INDEX($U$1:$U$31,ROW())/INDEX($T$1:$T$31,ROW()),"")</f>
        <v/>
      </c>
      <c r="W23" s="1" t="n"/>
      <c r="X23" s="1" t="n"/>
      <c r="Y23" s="1" t="n"/>
      <c r="Z23" s="1" t="n"/>
      <c r="AA23" s="1" t="n"/>
      <c r="AB23" s="1" t="n"/>
    </row>
    <row r="24" ht="12.6" customHeight="1">
      <c r="A24" s="1" t="n"/>
      <c r="B24" s="103">
        <f>IF($E$2="","",VLOOKUP($E$2,Sprachversionen!$B:$BN,24,FALSE))</f>
        <v/>
      </c>
      <c r="C24" s="104" t="n"/>
      <c r="D24" s="105" t="n"/>
      <c r="E24" s="105" t="n"/>
      <c r="F24" s="105" t="n"/>
      <c r="G24" s="105" t="n"/>
      <c r="H24" s="106" t="n"/>
      <c r="I24" s="1" t="n"/>
      <c r="J24" s="50" t="inlineStr">
        <is>
          <t xml:space="preserve">11. </t>
        </is>
      </c>
      <c r="K24" s="51">
        <f>IF($E$2="","",VLOOKUP($E$2,Sprachversionen!$B:$BN,23,FALSE))</f>
        <v/>
      </c>
      <c r="L24" s="52" t="n"/>
      <c r="M24" s="53" t="n"/>
      <c r="N24" s="53" t="n"/>
      <c r="O24" s="54">
        <f>IFERROR(INDEX($N$1:$N$31,ROW())/INDEX($M$1:$M$31,ROW()),"")</f>
        <v/>
      </c>
      <c r="P24" s="1" t="n"/>
      <c r="Q24" s="50" t="inlineStr">
        <is>
          <t xml:space="preserve">29. </t>
        </is>
      </c>
      <c r="R24" s="51">
        <f>IF($E$2="","",VLOOKUP($E$2,Sprachversionen!$B:$BN,23,FALSE))</f>
        <v/>
      </c>
      <c r="S24" s="52" t="n"/>
      <c r="T24" s="53" t="n"/>
      <c r="U24" s="53" t="n"/>
      <c r="V24" s="54">
        <f>IFERROR(INDEX($U$1:$U$31,ROW())/INDEX($T$1:$T$31,ROW()),"")</f>
        <v/>
      </c>
      <c r="W24" s="1" t="n"/>
      <c r="X24" s="1" t="n"/>
      <c r="Y24" s="1" t="n"/>
      <c r="Z24" s="1" t="n"/>
      <c r="AA24" s="1" t="n"/>
      <c r="AB24" s="1" t="n"/>
    </row>
    <row r="25" ht="12.6" customHeight="1">
      <c r="A25" s="1" t="n"/>
      <c r="B25" s="107">
        <f>B13</f>
        <v/>
      </c>
      <c r="C25" s="104" t="n"/>
      <c r="D25" s="105" t="n"/>
      <c r="E25" s="105" t="n"/>
      <c r="F25" s="105" t="n"/>
      <c r="G25" s="105" t="n"/>
      <c r="H25" s="106" t="n"/>
      <c r="I25" s="1" t="n"/>
      <c r="J25" s="50" t="inlineStr">
        <is>
          <t xml:space="preserve">12. </t>
        </is>
      </c>
      <c r="K25" s="51">
        <f>IF($E$2="","",VLOOKUP($E$2,Sprachversionen!$B:$BN,23,FALSE))</f>
        <v/>
      </c>
      <c r="L25" s="52" t="n"/>
      <c r="M25" s="53" t="n"/>
      <c r="N25" s="53" t="n"/>
      <c r="O25" s="54">
        <f>IFERROR(INDEX($N$1:$N$31,ROW())/INDEX($M$1:$M$31,ROW()),"")</f>
        <v/>
      </c>
      <c r="P25" s="1" t="n"/>
      <c r="Q25" s="50" t="inlineStr">
        <is>
          <t xml:space="preserve">30. </t>
        </is>
      </c>
      <c r="R25" s="51">
        <f>IF($E$2="","",VLOOKUP($E$2,Sprachversionen!$B:$BN,23,FALSE))</f>
        <v/>
      </c>
      <c r="S25" s="52" t="n"/>
      <c r="T25" s="53" t="n"/>
      <c r="U25" s="53" t="n"/>
      <c r="V25" s="54">
        <f>IFERROR(INDEX($U$1:$U$31,ROW())/INDEX($T$1:$T$31,ROW()),"")</f>
        <v/>
      </c>
      <c r="W25" s="1" t="n"/>
      <c r="X25" s="1" t="n"/>
      <c r="Y25" s="1" t="n"/>
      <c r="Z25" s="1" t="n"/>
      <c r="AA25" s="1" t="n"/>
      <c r="AB25" s="1" t="n"/>
    </row>
    <row r="26" ht="12.6" customHeight="1">
      <c r="A26" s="1" t="n"/>
      <c r="B26" s="45" t="n"/>
      <c r="C26" s="49" t="n"/>
      <c r="D26" s="108" t="n"/>
      <c r="E26" s="108" t="n"/>
      <c r="F26" s="108" t="n"/>
      <c r="G26" s="108" t="n"/>
      <c r="H26" s="109" t="n"/>
      <c r="I26" s="1" t="n"/>
      <c r="J26" s="50" t="inlineStr">
        <is>
          <t xml:space="preserve">13. </t>
        </is>
      </c>
      <c r="K26" s="51">
        <f>IF($E$2="","",VLOOKUP($E$2,Sprachversionen!$B:$BN,23,FALSE))</f>
        <v/>
      </c>
      <c r="L26" s="52" t="n"/>
      <c r="M26" s="53" t="n"/>
      <c r="N26" s="53" t="n"/>
      <c r="O26" s="54">
        <f>IFERROR(INDEX($N$1:$N$31,ROW())/INDEX($M$1:$M$31,ROW()),"")</f>
        <v/>
      </c>
      <c r="P26" s="1" t="n"/>
      <c r="Q26" s="50" t="inlineStr">
        <is>
          <t xml:space="preserve">31. </t>
        </is>
      </c>
      <c r="R26" s="51">
        <f>IF($E$2="","",VLOOKUP($E$2,Sprachversionen!$B:$BN,23,FALSE))</f>
        <v/>
      </c>
      <c r="S26" s="52" t="n"/>
      <c r="T26" s="53" t="n"/>
      <c r="U26" s="53" t="n"/>
      <c r="V26" s="54">
        <f>IFERROR(INDEX($U$1:$U$31,ROW())/INDEX($T$1:$T$31,ROW()),"")</f>
        <v/>
      </c>
      <c r="W26" s="1" t="n"/>
      <c r="X26" s="1" t="n"/>
      <c r="Y26" s="1" t="n"/>
      <c r="Z26" s="1" t="n"/>
      <c r="AA26" s="1" t="n"/>
      <c r="AB26" s="1" t="n"/>
    </row>
    <row r="27">
      <c r="A27" s="118" t="n"/>
      <c r="B27" s="119" t="inlineStr">
        <is>
          <t>1.</t>
        </is>
      </c>
      <c r="C27" s="120">
        <f>IF($E$2="","",VLOOKUP($E$2,Sprachversionen!$B:$BN,29,FALSE))</f>
        <v/>
      </c>
      <c r="D27" s="121" t="n"/>
      <c r="E27" s="121" t="n"/>
      <c r="F27" s="121" t="n"/>
      <c r="G27" s="122" t="n"/>
      <c r="H27" s="123" t="n"/>
      <c r="I27" s="1" t="n"/>
      <c r="J27" s="50" t="inlineStr">
        <is>
          <t xml:space="preserve">14. </t>
        </is>
      </c>
      <c r="K27" s="51">
        <f>IF($E$2="","",VLOOKUP($E$2,Sprachversionen!$B:$BN,23,FALSE))</f>
        <v/>
      </c>
      <c r="L27" s="52" t="n"/>
      <c r="M27" s="53" t="n"/>
      <c r="N27" s="53" t="n"/>
      <c r="O27" s="54">
        <f>IFERROR(INDEX($N$1:$N$31,ROW())/INDEX($M$1:$M$31,ROW()),"")</f>
        <v/>
      </c>
      <c r="P27" s="1" t="n"/>
      <c r="Q27" s="50" t="inlineStr">
        <is>
          <t xml:space="preserve">32. </t>
        </is>
      </c>
      <c r="R27" s="51">
        <f>IF($E$2="","",VLOOKUP($E$2,Sprachversionen!$B:$BN,23,FALSE))</f>
        <v/>
      </c>
      <c r="S27" s="52" t="n"/>
      <c r="T27" s="53" t="n"/>
      <c r="U27" s="53" t="n"/>
      <c r="V27" s="54">
        <f>IFERROR(INDEX($U$1:$U$31,ROW())/INDEX($T$1:$T$31,ROW()),"")</f>
        <v/>
      </c>
      <c r="W27" s="1" t="n"/>
      <c r="X27" s="1" t="n"/>
      <c r="Y27" s="1" t="n"/>
      <c r="Z27" s="1" t="n"/>
      <c r="AA27" s="1" t="n"/>
      <c r="AB27" s="1" t="n"/>
    </row>
    <row r="28">
      <c r="A28" s="118" t="n"/>
      <c r="B28" s="124" t="inlineStr">
        <is>
          <t>1.1</t>
        </is>
      </c>
      <c r="C28" s="125" t="n"/>
      <c r="D28" s="126" t="n"/>
      <c r="E28" s="127" t="n"/>
      <c r="F28" s="128" t="n"/>
      <c r="G28" s="129">
        <f>IFERROR(INDEX($F$1:$F$1001,ROW())/INDEX($D$1:$D$1001,ROW()),0)</f>
        <v/>
      </c>
      <c r="H28" s="130" t="n"/>
      <c r="I28" s="1" t="n"/>
      <c r="J28" s="50" t="inlineStr">
        <is>
          <t xml:space="preserve">15. </t>
        </is>
      </c>
      <c r="K28" s="51">
        <f>IF($E$2="","",VLOOKUP($E$2,Sprachversionen!$B:$BN,23,FALSE))</f>
        <v/>
      </c>
      <c r="L28" s="52" t="n"/>
      <c r="M28" s="53" t="n"/>
      <c r="N28" s="53" t="n"/>
      <c r="O28" s="54">
        <f>IFERROR(INDEX($N$1:$N$31,ROW())/INDEX($M$1:$M$31,ROW()),"")</f>
        <v/>
      </c>
      <c r="P28" s="1" t="n"/>
      <c r="Q28" s="50" t="inlineStr">
        <is>
          <t xml:space="preserve">33. </t>
        </is>
      </c>
      <c r="R28" s="51">
        <f>IF($E$2="","",VLOOKUP($E$2,Sprachversionen!$B:$BN,23,FALSE))</f>
        <v/>
      </c>
      <c r="S28" s="52" t="n"/>
      <c r="T28" s="53" t="n"/>
      <c r="U28" s="53" t="n"/>
      <c r="V28" s="54">
        <f>IFERROR(INDEX($U$1:$U$31,ROW())/INDEX($T$1:$T$31,ROW()),"")</f>
        <v/>
      </c>
      <c r="W28" s="1" t="n"/>
      <c r="X28" s="1" t="n"/>
      <c r="Y28" s="1" t="n"/>
      <c r="Z28" s="1" t="n"/>
      <c r="AA28" s="1" t="n"/>
      <c r="AB28" s="1" t="n"/>
    </row>
    <row r="29">
      <c r="A29" s="118" t="n"/>
      <c r="B29" s="124" t="inlineStr">
        <is>
          <t>1.2</t>
        </is>
      </c>
      <c r="C29" s="125" t="n"/>
      <c r="D29" s="126" t="n"/>
      <c r="E29" s="127" t="n"/>
      <c r="F29" s="128" t="n"/>
      <c r="G29" s="129">
        <f>IFERROR(INDEX($F$1:$F$1001,ROW())/INDEX($D$1:$D$1001,ROW()),0)</f>
        <v/>
      </c>
      <c r="H29" s="130" t="n"/>
      <c r="I29" s="1" t="n"/>
      <c r="J29" s="50" t="inlineStr">
        <is>
          <t xml:space="preserve">16. </t>
        </is>
      </c>
      <c r="K29" s="51">
        <f>IF($E$2="","",VLOOKUP($E$2,Sprachversionen!$B:$BN,23,FALSE))</f>
        <v/>
      </c>
      <c r="L29" s="52" t="n"/>
      <c r="M29" s="53" t="n"/>
      <c r="N29" s="53" t="n"/>
      <c r="O29" s="54">
        <f>IFERROR(INDEX($N$1:$N$31,ROW())/INDEX($M$1:$M$31,ROW()),"")</f>
        <v/>
      </c>
      <c r="P29" s="1" t="n"/>
      <c r="Q29" s="50" t="inlineStr">
        <is>
          <t xml:space="preserve">34. </t>
        </is>
      </c>
      <c r="R29" s="51">
        <f>IF($E$2="","",VLOOKUP($E$2,Sprachversionen!$B:$BN,23,FALSE))</f>
        <v/>
      </c>
      <c r="S29" s="52" t="n"/>
      <c r="T29" s="53" t="n"/>
      <c r="U29" s="53" t="n"/>
      <c r="V29" s="54">
        <f>IFERROR(INDEX($U$1:$U$31,ROW())/INDEX($T$1:$T$31,ROW()),"")</f>
        <v/>
      </c>
      <c r="W29" s="1" t="n"/>
      <c r="X29" s="1" t="n"/>
      <c r="Y29" s="1" t="n"/>
      <c r="Z29" s="1" t="n"/>
      <c r="AA29" s="1" t="n"/>
      <c r="AB29" s="1" t="n"/>
    </row>
    <row r="30">
      <c r="A30" s="118" t="n"/>
      <c r="B30" s="124" t="inlineStr">
        <is>
          <t>1.3</t>
        </is>
      </c>
      <c r="C30" s="125" t="n"/>
      <c r="D30" s="126" t="n"/>
      <c r="E30" s="127" t="n"/>
      <c r="F30" s="128" t="n"/>
      <c r="G30" s="129">
        <f>IFERROR(INDEX($F$1:$F$1001,ROW())/INDEX($D$1:$D$1001,ROW()),0)</f>
        <v/>
      </c>
      <c r="H30" s="130" t="n"/>
      <c r="I30" s="1" t="n"/>
      <c r="J30" s="50" t="inlineStr">
        <is>
          <t xml:space="preserve">17. </t>
        </is>
      </c>
      <c r="K30" s="51">
        <f>IF($E$2="","",VLOOKUP($E$2,Sprachversionen!$B:$BN,23,FALSE))</f>
        <v/>
      </c>
      <c r="L30" s="52" t="n"/>
      <c r="M30" s="53" t="n"/>
      <c r="N30" s="53" t="n"/>
      <c r="O30" s="54">
        <f>IFERROR(INDEX($N$1:$N$31,ROW())/INDEX($M$1:$M$31,ROW()),"")</f>
        <v/>
      </c>
      <c r="P30" s="1" t="n"/>
      <c r="Q30" s="50" t="inlineStr">
        <is>
          <t xml:space="preserve">35. </t>
        </is>
      </c>
      <c r="R30" s="51">
        <f>IF($E$2="","",VLOOKUP($E$2,Sprachversionen!$B:$BN,23,FALSE))</f>
        <v/>
      </c>
      <c r="S30" s="52" t="n"/>
      <c r="T30" s="53" t="n"/>
      <c r="U30" s="53" t="n"/>
      <c r="V30" s="54">
        <f>IFERROR(INDEX($U$1:$U$31,ROW())/INDEX($T$1:$T$31,ROW()),"")</f>
        <v/>
      </c>
      <c r="W30" s="1" t="n"/>
      <c r="X30" s="1" t="n"/>
      <c r="Y30" s="1" t="n"/>
      <c r="Z30" s="1" t="n"/>
      <c r="AA30" s="1" t="n"/>
      <c r="AB30" s="1" t="n"/>
    </row>
    <row r="31">
      <c r="A31" s="118" t="n"/>
      <c r="B31" s="124" t="inlineStr">
        <is>
          <t>1.4</t>
        </is>
      </c>
      <c r="C31" s="125" t="n"/>
      <c r="D31" s="126" t="n"/>
      <c r="E31" s="127" t="n"/>
      <c r="F31" s="128" t="n"/>
      <c r="G31" s="129">
        <f>IFERROR(INDEX($F$1:$F$1001,ROW())/INDEX($D$1:$D$1001,ROW()),0)</f>
        <v/>
      </c>
      <c r="H31" s="130" t="n"/>
      <c r="I31" s="1" t="n"/>
      <c r="J31" s="80" t="inlineStr">
        <is>
          <t xml:space="preserve">18. </t>
        </is>
      </c>
      <c r="K31" s="81">
        <f>IF($E$2="","",VLOOKUP($E$2,Sprachversionen!$B:$BN,23,FALSE))</f>
        <v/>
      </c>
      <c r="L31" s="52" t="n"/>
      <c r="M31" s="53" t="n"/>
      <c r="N31" s="53" t="n"/>
      <c r="O31" s="54">
        <f>IFERROR(INDEX($N$1:$N$31,ROW())/INDEX($M$1:$M$31,ROW()),"")</f>
        <v/>
      </c>
      <c r="P31" s="1" t="n"/>
      <c r="Q31" s="80" t="inlineStr">
        <is>
          <t xml:space="preserve">36. </t>
        </is>
      </c>
      <c r="R31" s="81">
        <f>IF($E$2="","",VLOOKUP($E$2,Sprachversionen!$B:$BN,23,FALSE))</f>
        <v/>
      </c>
      <c r="S31" s="52" t="n"/>
      <c r="T31" s="53" t="n"/>
      <c r="U31" s="53" t="n"/>
      <c r="V31" s="54">
        <f>IFERROR(INDEX($U$1:$U$31,ROW())/INDEX($T$1:$T$31,ROW()),"")</f>
        <v/>
      </c>
      <c r="W31" s="1" t="n"/>
      <c r="X31" s="1" t="n"/>
      <c r="Y31" s="1" t="n"/>
      <c r="Z31" s="1" t="n"/>
      <c r="AA31" s="1" t="n"/>
      <c r="AB31" s="1" t="n"/>
    </row>
    <row r="32">
      <c r="A32" s="118" t="n"/>
      <c r="B32" s="124" t="inlineStr">
        <is>
          <t>1.5</t>
        </is>
      </c>
      <c r="C32" s="125" t="n"/>
      <c r="D32" s="126" t="n"/>
      <c r="E32" s="127" t="n"/>
      <c r="F32" s="128" t="n"/>
      <c r="G32" s="129">
        <f>IFERROR(INDEX($F$1:$F$1001,ROW())/INDEX($D$1:$D$1001,ROW()),0)</f>
        <v/>
      </c>
      <c r="H32" s="130" t="n"/>
      <c r="I32" s="1" t="n"/>
      <c r="J32" s="1" t="n"/>
      <c r="K32" s="1" t="n"/>
      <c r="L32" s="1" t="n"/>
      <c r="M32" s="1" t="n"/>
      <c r="N32" s="1" t="n"/>
      <c r="O32" s="1" t="n"/>
      <c r="P32" s="1" t="n"/>
      <c r="Q32" s="1" t="n"/>
      <c r="R32" s="1" t="n"/>
      <c r="S32" s="1" t="n"/>
      <c r="T32" s="1" t="n"/>
      <c r="U32" s="1" t="n"/>
      <c r="V32" s="1" t="n"/>
      <c r="W32" s="1" t="n"/>
      <c r="X32" s="1" t="n"/>
      <c r="Y32" s="1" t="n"/>
      <c r="Z32" s="1" t="n"/>
      <c r="AA32" s="1" t="n"/>
      <c r="AB32" s="1" t="n"/>
    </row>
    <row r="33">
      <c r="A33" s="118" t="n"/>
      <c r="B33" s="124" t="inlineStr">
        <is>
          <t>1.6</t>
        </is>
      </c>
      <c r="C33" s="125" t="n"/>
      <c r="D33" s="126" t="n"/>
      <c r="E33" s="127" t="n"/>
      <c r="F33" s="128" t="n"/>
      <c r="G33" s="129">
        <f>IFERROR(INDEX($F$1:$F$1001,ROW())/INDEX($D$1:$D$1001,ROW()),0)</f>
        <v/>
      </c>
      <c r="H33" s="130" t="n"/>
      <c r="I33" s="1" t="n"/>
      <c r="J33" s="1" t="n"/>
      <c r="K33" s="1" t="n"/>
      <c r="L33" s="1" t="n"/>
      <c r="M33" s="1" t="n"/>
      <c r="N33" s="1" t="n"/>
      <c r="O33" s="1" t="n"/>
      <c r="P33" s="1" t="n"/>
      <c r="Q33" s="1" t="n"/>
      <c r="R33" s="1" t="n"/>
      <c r="S33" s="1" t="n"/>
      <c r="T33" s="1" t="n"/>
      <c r="U33" s="1" t="n"/>
      <c r="V33" s="1" t="n"/>
      <c r="W33" s="1" t="n"/>
      <c r="X33" s="1" t="n"/>
      <c r="Y33" s="1" t="n"/>
      <c r="Z33" s="1" t="n"/>
      <c r="AA33" s="1" t="n"/>
      <c r="AB33" s="1" t="n"/>
    </row>
    <row r="34">
      <c r="A34" s="118" t="n"/>
      <c r="B34" s="124" t="inlineStr">
        <is>
          <t>1.7</t>
        </is>
      </c>
      <c r="C34" s="125" t="n"/>
      <c r="D34" s="126" t="n"/>
      <c r="E34" s="127" t="n"/>
      <c r="F34" s="128" t="n"/>
      <c r="G34" s="129">
        <f>IFERROR(INDEX($F$1:$F$1001,ROW())/INDEX($D$1:$D$1001,ROW()),0)</f>
        <v/>
      </c>
      <c r="H34" s="130" t="n"/>
      <c r="I34" s="1" t="n"/>
      <c r="J34" s="1" t="n"/>
      <c r="K34" s="1" t="n"/>
      <c r="L34" s="1" t="n"/>
      <c r="M34" s="1" t="n"/>
      <c r="N34" s="1" t="n"/>
      <c r="O34" s="1" t="n"/>
      <c r="P34" s="1" t="n"/>
      <c r="Q34" s="1" t="n"/>
      <c r="R34" s="1" t="n"/>
      <c r="S34" s="1" t="n"/>
      <c r="T34" s="1" t="n"/>
      <c r="U34" s="1" t="n"/>
      <c r="V34" s="1" t="n"/>
      <c r="W34" s="1" t="n"/>
      <c r="X34" s="1" t="n"/>
      <c r="Y34" s="1" t="n"/>
      <c r="Z34" s="1" t="n"/>
      <c r="AA34" s="1" t="n"/>
      <c r="AB34" s="1" t="n"/>
    </row>
    <row r="35">
      <c r="A35" s="118" t="n"/>
      <c r="B35" s="124" t="inlineStr">
        <is>
          <t>1.8</t>
        </is>
      </c>
      <c r="C35" s="125" t="n"/>
      <c r="D35" s="126" t="n"/>
      <c r="E35" s="127" t="n"/>
      <c r="F35" s="128" t="n"/>
      <c r="G35" s="129">
        <f>IFERROR(INDEX($F$1:$F$1001,ROW())/INDEX($D$1:$D$1001,ROW()),0)</f>
        <v/>
      </c>
      <c r="H35" s="130" t="n"/>
      <c r="I35" s="1" t="n"/>
      <c r="J35" s="1" t="n"/>
      <c r="K35" s="1" t="n"/>
      <c r="L35" s="1" t="n"/>
      <c r="M35" s="1" t="n"/>
      <c r="N35" s="1" t="n"/>
      <c r="O35" s="1" t="n"/>
      <c r="P35" s="1" t="n"/>
      <c r="Q35" s="1" t="n"/>
      <c r="R35" s="1" t="n"/>
      <c r="S35" s="1" t="n"/>
      <c r="T35" s="1" t="n"/>
      <c r="U35" s="1" t="n"/>
      <c r="V35" s="1" t="n"/>
      <c r="W35" s="1" t="n"/>
      <c r="X35" s="1" t="n"/>
      <c r="Y35" s="1" t="n"/>
      <c r="Z35" s="1" t="n"/>
      <c r="AA35" s="1" t="n"/>
      <c r="AB35" s="1" t="n"/>
    </row>
    <row r="36">
      <c r="A36" s="118" t="n"/>
      <c r="B36" s="124" t="inlineStr">
        <is>
          <t>1.9</t>
        </is>
      </c>
      <c r="C36" s="125" t="n"/>
      <c r="D36" s="126" t="n"/>
      <c r="E36" s="127" t="n"/>
      <c r="F36" s="128" t="n"/>
      <c r="G36" s="129">
        <f>IFERROR(INDEX($F$1:$F$1001,ROW())/INDEX($D$1:$D$1001,ROW()),0)</f>
        <v/>
      </c>
      <c r="H36" s="130" t="n"/>
      <c r="I36" s="1" t="n"/>
      <c r="J36" s="1" t="n"/>
      <c r="K36" s="1" t="n"/>
      <c r="L36" s="1" t="n"/>
      <c r="M36" s="1" t="n"/>
      <c r="N36" s="1" t="n"/>
      <c r="O36" s="1" t="n"/>
      <c r="P36" s="1" t="n"/>
      <c r="Q36" s="1" t="n"/>
      <c r="R36" s="1" t="n"/>
      <c r="S36" s="1" t="n"/>
      <c r="T36" s="1" t="n"/>
      <c r="U36" s="1" t="n"/>
      <c r="V36" s="1" t="n"/>
      <c r="W36" s="1" t="n"/>
      <c r="X36" s="1" t="n"/>
      <c r="Y36" s="1" t="n"/>
      <c r="Z36" s="1" t="n"/>
      <c r="AA36" s="1" t="n"/>
      <c r="AB36" s="1" t="n"/>
    </row>
    <row r="37">
      <c r="A37" s="118" t="n"/>
      <c r="B37" s="124" t="inlineStr">
        <is>
          <t>1.10</t>
        </is>
      </c>
      <c r="C37" s="125" t="n"/>
      <c r="D37" s="126" t="n"/>
      <c r="E37" s="127" t="n"/>
      <c r="F37" s="128" t="n"/>
      <c r="G37" s="129">
        <f>IFERROR(INDEX($F$1:$F$1001,ROW())/INDEX($D$1:$D$1001,ROW()),0)</f>
        <v/>
      </c>
      <c r="H37" s="130" t="n"/>
      <c r="I37" s="1" t="n"/>
      <c r="J37" s="1" t="n"/>
      <c r="K37" s="1" t="n"/>
      <c r="L37" s="1" t="n"/>
      <c r="M37" s="1" t="n"/>
      <c r="N37" s="1" t="n"/>
      <c r="O37" s="1" t="n"/>
      <c r="P37" s="1" t="n"/>
      <c r="Q37" s="1" t="n"/>
      <c r="R37" s="1" t="n"/>
      <c r="S37" s="1" t="n"/>
      <c r="T37" s="1" t="n"/>
      <c r="U37" s="1" t="n"/>
      <c r="V37" s="1" t="n"/>
      <c r="W37" s="1" t="n"/>
      <c r="X37" s="1" t="n"/>
      <c r="Y37" s="1" t="n"/>
      <c r="Z37" s="1" t="n"/>
      <c r="AA37" s="1" t="n"/>
      <c r="AB37" s="1" t="n"/>
    </row>
    <row r="38">
      <c r="A38" s="118" t="n"/>
      <c r="B38" s="124" t="inlineStr">
        <is>
          <t>1.11</t>
        </is>
      </c>
      <c r="C38" s="125" t="n"/>
      <c r="D38" s="126" t="n"/>
      <c r="E38" s="127" t="n"/>
      <c r="F38" s="128" t="n"/>
      <c r="G38" s="129">
        <f>IFERROR(INDEX($F$1:$F$1001,ROW())/INDEX($D$1:$D$1001,ROW()),0)</f>
        <v/>
      </c>
      <c r="H38" s="130" t="n"/>
      <c r="I38" s="1" t="n"/>
      <c r="J38" s="1" t="n"/>
      <c r="K38" s="1" t="n"/>
      <c r="L38" s="1" t="n"/>
      <c r="M38" s="1" t="n"/>
      <c r="N38" s="1" t="n"/>
      <c r="O38" s="1" t="n"/>
      <c r="P38" s="1" t="n"/>
      <c r="Q38" s="1" t="n"/>
      <c r="R38" s="1" t="n"/>
      <c r="S38" s="1" t="n"/>
      <c r="T38" s="1" t="n"/>
      <c r="U38" s="1" t="n"/>
      <c r="V38" s="1" t="n"/>
      <c r="W38" s="1" t="n"/>
      <c r="X38" s="1" t="n"/>
      <c r="Y38" s="1" t="n"/>
      <c r="Z38" s="1" t="n"/>
      <c r="AA38" s="1" t="n"/>
      <c r="AB38" s="1" t="n"/>
    </row>
    <row r="39">
      <c r="A39" s="118" t="n"/>
      <c r="B39" s="124" t="inlineStr">
        <is>
          <t>1.12</t>
        </is>
      </c>
      <c r="C39" s="125" t="n"/>
      <c r="D39" s="126" t="n"/>
      <c r="E39" s="127" t="n"/>
      <c r="F39" s="128" t="n"/>
      <c r="G39" s="129">
        <f>IFERROR(INDEX($F$1:$F$1001,ROW())/INDEX($D$1:$D$1001,ROW()),0)</f>
        <v/>
      </c>
      <c r="H39" s="130" t="n"/>
      <c r="I39" s="1" t="n"/>
      <c r="J39" s="1" t="n"/>
      <c r="K39" s="1" t="n"/>
      <c r="L39" s="1" t="n"/>
      <c r="M39" s="1" t="n"/>
      <c r="N39" s="1" t="n"/>
      <c r="O39" s="1" t="n"/>
      <c r="P39" s="1" t="n"/>
      <c r="Q39" s="1" t="n"/>
      <c r="R39" s="1" t="n"/>
      <c r="S39" s="1" t="n"/>
      <c r="T39" s="1" t="n"/>
      <c r="U39" s="1" t="n"/>
      <c r="V39" s="1" t="n"/>
      <c r="W39" s="1" t="n"/>
      <c r="X39" s="1" t="n"/>
      <c r="Y39" s="1" t="n"/>
      <c r="Z39" s="1" t="n"/>
      <c r="AA39" s="1" t="n"/>
      <c r="AB39" s="1" t="n"/>
    </row>
    <row r="40">
      <c r="A40" s="118" t="n"/>
      <c r="B40" s="124" t="inlineStr">
        <is>
          <t>1.13</t>
        </is>
      </c>
      <c r="C40" s="125" t="n"/>
      <c r="D40" s="126" t="n"/>
      <c r="E40" s="127" t="n"/>
      <c r="F40" s="128" t="n"/>
      <c r="G40" s="129">
        <f>IFERROR(INDEX($F$1:$F$1001,ROW())/INDEX($D$1:$D$1001,ROW()),0)</f>
        <v/>
      </c>
      <c r="H40" s="130" t="n"/>
      <c r="I40" s="1" t="n"/>
      <c r="J40" s="1" t="n"/>
      <c r="K40" s="1" t="n"/>
      <c r="L40" s="1" t="n"/>
      <c r="M40" s="1" t="n"/>
      <c r="N40" s="1" t="n"/>
      <c r="O40" s="1" t="n"/>
      <c r="P40" s="1" t="n"/>
      <c r="Q40" s="1" t="n"/>
      <c r="R40" s="1" t="n"/>
      <c r="S40" s="1" t="n"/>
      <c r="T40" s="1" t="n"/>
      <c r="U40" s="1" t="n"/>
      <c r="V40" s="1" t="n"/>
      <c r="W40" s="1" t="n"/>
      <c r="X40" s="1" t="n"/>
      <c r="Y40" s="1" t="n"/>
      <c r="Z40" s="1" t="n"/>
      <c r="AA40" s="1" t="n"/>
      <c r="AB40" s="1" t="n"/>
    </row>
    <row r="41">
      <c r="A41" s="118" t="n"/>
      <c r="B41" s="124" t="inlineStr">
        <is>
          <t>1.14</t>
        </is>
      </c>
      <c r="C41" s="125" t="n"/>
      <c r="D41" s="126" t="n"/>
      <c r="E41" s="127" t="n"/>
      <c r="F41" s="128" t="n"/>
      <c r="G41" s="129">
        <f>IFERROR(INDEX($F$1:$F$1001,ROW())/INDEX($D$1:$D$1001,ROW()),0)</f>
        <v/>
      </c>
      <c r="H41" s="130" t="n"/>
      <c r="I41" s="1" t="n"/>
      <c r="J41" s="1" t="n"/>
      <c r="K41" s="1" t="n"/>
      <c r="L41" s="1" t="n"/>
      <c r="M41" s="1" t="n"/>
      <c r="N41" s="1" t="n"/>
      <c r="O41" s="1" t="n"/>
      <c r="P41" s="1" t="n"/>
      <c r="Q41" s="1" t="n"/>
      <c r="R41" s="1" t="n"/>
      <c r="S41" s="1" t="n"/>
      <c r="T41" s="1" t="n"/>
      <c r="U41" s="1" t="n"/>
      <c r="V41" s="1" t="n"/>
      <c r="W41" s="1" t="n"/>
      <c r="X41" s="1" t="n"/>
      <c r="Y41" s="1" t="n"/>
      <c r="Z41" s="1" t="n"/>
      <c r="AA41" s="1" t="n"/>
      <c r="AB41" s="1" t="n"/>
    </row>
    <row r="42">
      <c r="A42" s="118" t="n"/>
      <c r="B42" s="124" t="inlineStr">
        <is>
          <t>1.15</t>
        </is>
      </c>
      <c r="C42" s="125" t="n"/>
      <c r="D42" s="126" t="n"/>
      <c r="E42" s="127" t="n"/>
      <c r="F42" s="128" t="n"/>
      <c r="G42" s="129">
        <f>IFERROR(INDEX($F$1:$F$1001,ROW())/INDEX($D$1:$D$1001,ROW()),0)</f>
        <v/>
      </c>
      <c r="H42" s="130" t="n"/>
      <c r="I42" s="1" t="n"/>
      <c r="J42" s="1" t="n"/>
      <c r="K42" s="1" t="n"/>
      <c r="L42" s="1" t="n"/>
      <c r="M42" s="1" t="n"/>
      <c r="N42" s="1" t="n"/>
      <c r="O42" s="1" t="n"/>
      <c r="P42" s="1" t="n"/>
      <c r="Q42" s="1" t="n"/>
      <c r="R42" s="1" t="n"/>
      <c r="S42" s="1" t="n"/>
      <c r="T42" s="1" t="n"/>
      <c r="U42" s="1" t="n"/>
      <c r="V42" s="1" t="n"/>
      <c r="W42" s="1" t="n"/>
      <c r="X42" s="1" t="n"/>
      <c r="Y42" s="1" t="n"/>
      <c r="Z42" s="1" t="n"/>
      <c r="AA42" s="1" t="n"/>
      <c r="AB42" s="1" t="n"/>
    </row>
    <row r="43">
      <c r="A43" s="118" t="n"/>
      <c r="B43" s="124" t="inlineStr">
        <is>
          <t>1.16</t>
        </is>
      </c>
      <c r="C43" s="125" t="n"/>
      <c r="D43" s="126" t="n"/>
      <c r="E43" s="127" t="n"/>
      <c r="F43" s="128" t="n"/>
      <c r="G43" s="129">
        <f>IFERROR(INDEX($F$1:$F$1001,ROW())/INDEX($D$1:$D$1001,ROW()),0)</f>
        <v/>
      </c>
      <c r="H43" s="130" t="n"/>
      <c r="I43" s="1" t="n"/>
      <c r="J43" s="1" t="n"/>
      <c r="K43" s="1" t="n"/>
      <c r="L43" s="1" t="n"/>
      <c r="M43" s="1" t="n"/>
      <c r="N43" s="1" t="n"/>
      <c r="O43" s="1" t="n"/>
      <c r="P43" s="1" t="n"/>
      <c r="Q43" s="1" t="n"/>
      <c r="R43" s="1" t="n"/>
      <c r="S43" s="1" t="n"/>
      <c r="T43" s="1" t="n"/>
      <c r="U43" s="1" t="n"/>
      <c r="V43" s="1" t="n"/>
      <c r="W43" s="1" t="n"/>
      <c r="X43" s="1" t="n"/>
      <c r="Y43" s="1" t="n"/>
      <c r="Z43" s="1" t="n"/>
      <c r="AA43" s="1" t="n"/>
      <c r="AB43" s="1" t="n"/>
    </row>
    <row r="44">
      <c r="A44" s="118" t="n"/>
      <c r="B44" s="124" t="inlineStr">
        <is>
          <t>1.17</t>
        </is>
      </c>
      <c r="C44" s="125" t="n"/>
      <c r="D44" s="126" t="n"/>
      <c r="E44" s="127" t="n"/>
      <c r="F44" s="128" t="n"/>
      <c r="G44" s="129">
        <f>IFERROR(INDEX($F$1:$F$1001,ROW())/INDEX($D$1:$D$1001,ROW()),0)</f>
        <v/>
      </c>
      <c r="H44" s="130" t="n"/>
      <c r="I44" s="1" t="n"/>
      <c r="J44" s="1" t="n"/>
      <c r="K44" s="1" t="n"/>
      <c r="L44" s="1" t="n"/>
      <c r="M44" s="1" t="n"/>
      <c r="N44" s="1" t="n"/>
      <c r="O44" s="1" t="n"/>
      <c r="P44" s="1" t="n"/>
      <c r="Q44" s="1" t="n"/>
      <c r="R44" s="1" t="n"/>
      <c r="S44" s="1" t="n"/>
      <c r="T44" s="1" t="n"/>
      <c r="U44" s="1" t="n"/>
      <c r="V44" s="1" t="n"/>
      <c r="W44" s="1" t="n"/>
      <c r="X44" s="1" t="n"/>
      <c r="Y44" s="1" t="n"/>
      <c r="Z44" s="1" t="n"/>
      <c r="AA44" s="1" t="n"/>
      <c r="AB44" s="1" t="n"/>
    </row>
    <row r="45">
      <c r="A45" s="118" t="n"/>
      <c r="B45" s="124" t="inlineStr">
        <is>
          <t>1.18</t>
        </is>
      </c>
      <c r="C45" s="125" t="n"/>
      <c r="D45" s="126" t="n"/>
      <c r="E45" s="127" t="n"/>
      <c r="F45" s="128" t="n"/>
      <c r="G45" s="129">
        <f>IFERROR(INDEX($F$1:$F$1001,ROW())/INDEX($D$1:$D$1001,ROW()),0)</f>
        <v/>
      </c>
      <c r="H45" s="130" t="n"/>
      <c r="I45" s="1" t="n"/>
      <c r="J45" s="1" t="n"/>
      <c r="K45" s="1" t="n"/>
      <c r="L45" s="1" t="n"/>
      <c r="M45" s="1" t="n"/>
      <c r="N45" s="1" t="n"/>
      <c r="O45" s="1" t="n"/>
      <c r="P45" s="1" t="n"/>
      <c r="Q45" s="1" t="n"/>
      <c r="R45" s="1" t="n"/>
      <c r="S45" s="1" t="n"/>
      <c r="T45" s="1" t="n"/>
      <c r="U45" s="1" t="n"/>
      <c r="V45" s="1" t="n"/>
      <c r="W45" s="1" t="n"/>
      <c r="X45" s="1" t="n"/>
      <c r="Y45" s="1" t="n"/>
      <c r="Z45" s="1" t="n"/>
      <c r="AA45" s="1" t="n"/>
      <c r="AB45" s="1" t="n"/>
    </row>
    <row r="46">
      <c r="A46" s="118" t="n"/>
      <c r="B46" s="124" t="inlineStr">
        <is>
          <t>1.19</t>
        </is>
      </c>
      <c r="C46" s="125" t="n"/>
      <c r="D46" s="126" t="n"/>
      <c r="E46" s="127" t="n"/>
      <c r="F46" s="128" t="n"/>
      <c r="G46" s="129">
        <f>IFERROR(INDEX($F$1:$F$1001,ROW())/INDEX($D$1:$D$1001,ROW()),0)</f>
        <v/>
      </c>
      <c r="H46" s="130" t="n"/>
      <c r="I46" s="1" t="n"/>
      <c r="J46" s="1" t="n"/>
      <c r="K46" s="1" t="n"/>
      <c r="L46" s="1" t="n"/>
      <c r="M46" s="1" t="n"/>
      <c r="N46" s="1" t="n"/>
      <c r="O46" s="1" t="n"/>
      <c r="P46" s="1" t="n"/>
      <c r="Q46" s="1" t="n"/>
      <c r="R46" s="1" t="n"/>
      <c r="S46" s="1" t="n"/>
      <c r="T46" s="1" t="n"/>
      <c r="U46" s="1" t="n"/>
      <c r="V46" s="1" t="n"/>
      <c r="W46" s="1" t="n"/>
      <c r="X46" s="1" t="n"/>
      <c r="Y46" s="1" t="n"/>
      <c r="Z46" s="1" t="n"/>
      <c r="AA46" s="1" t="n"/>
      <c r="AB46" s="1" t="n"/>
    </row>
    <row r="47">
      <c r="A47" s="118" t="n"/>
      <c r="B47" s="124" t="inlineStr">
        <is>
          <t>1.20</t>
        </is>
      </c>
      <c r="C47" s="125" t="n"/>
      <c r="D47" s="126" t="n"/>
      <c r="E47" s="127" t="n"/>
      <c r="F47" s="128" t="n"/>
      <c r="G47" s="129">
        <f>IFERROR(INDEX($F$1:$F$1001,ROW())/INDEX($D$1:$D$1001,ROW()),0)</f>
        <v/>
      </c>
      <c r="H47" s="130" t="n"/>
      <c r="I47" s="1" t="n"/>
      <c r="J47" s="1" t="n"/>
      <c r="K47" s="1" t="n"/>
      <c r="L47" s="1" t="n"/>
      <c r="M47" s="1" t="n"/>
      <c r="N47" s="1" t="n"/>
      <c r="O47" s="1" t="n"/>
      <c r="P47" s="1" t="n"/>
      <c r="Q47" s="1" t="n"/>
      <c r="R47" s="1" t="n"/>
      <c r="S47" s="1" t="n"/>
      <c r="T47" s="1" t="n"/>
      <c r="U47" s="1" t="n"/>
      <c r="V47" s="1" t="n"/>
      <c r="W47" s="1" t="n"/>
      <c r="X47" s="1" t="n"/>
      <c r="Y47" s="1" t="n"/>
      <c r="Z47" s="1" t="n"/>
      <c r="AA47" s="1" t="n"/>
      <c r="AB47" s="1" t="n"/>
    </row>
    <row r="48">
      <c r="A48" s="118" t="n"/>
      <c r="B48" s="124" t="inlineStr">
        <is>
          <t>1.21</t>
        </is>
      </c>
      <c r="C48" s="125" t="n"/>
      <c r="D48" s="126" t="n"/>
      <c r="E48" s="127" t="n"/>
      <c r="F48" s="128" t="n"/>
      <c r="G48" s="129">
        <f>IFERROR(INDEX($F$1:$F$1001,ROW())/INDEX($D$1:$D$1001,ROW()),0)</f>
        <v/>
      </c>
      <c r="H48" s="130" t="n"/>
      <c r="I48" s="1" t="n"/>
      <c r="J48" s="1" t="n"/>
      <c r="K48" s="1" t="n"/>
      <c r="L48" s="1" t="n"/>
      <c r="M48" s="1" t="n"/>
      <c r="N48" s="1" t="n"/>
      <c r="O48" s="1" t="n"/>
      <c r="P48" s="1" t="n"/>
      <c r="Q48" s="1" t="n"/>
      <c r="R48" s="1" t="n"/>
      <c r="S48" s="1" t="n"/>
      <c r="T48" s="1" t="n"/>
      <c r="U48" s="1" t="n"/>
      <c r="V48" s="1" t="n"/>
      <c r="W48" s="1" t="n"/>
      <c r="X48" s="1" t="n"/>
      <c r="Y48" s="1" t="n"/>
      <c r="Z48" s="1" t="n"/>
      <c r="AA48" s="1" t="n"/>
      <c r="AB48" s="1" t="n"/>
    </row>
    <row r="49">
      <c r="A49" s="118" t="n"/>
      <c r="B49" s="124" t="inlineStr">
        <is>
          <t>1.22</t>
        </is>
      </c>
      <c r="C49" s="125" t="n"/>
      <c r="D49" s="126" t="n"/>
      <c r="E49" s="127" t="n"/>
      <c r="F49" s="128" t="n"/>
      <c r="G49" s="129">
        <f>IFERROR(INDEX($F$1:$F$1001,ROW())/INDEX($D$1:$D$1001,ROW()),0)</f>
        <v/>
      </c>
      <c r="H49" s="130" t="n"/>
      <c r="I49" s="1" t="n"/>
      <c r="J49" s="1" t="n"/>
      <c r="K49" s="1" t="n"/>
      <c r="L49" s="1" t="n"/>
      <c r="M49" s="1" t="n"/>
      <c r="N49" s="1" t="n"/>
      <c r="O49" s="1" t="n"/>
      <c r="P49" s="1" t="n"/>
      <c r="Q49" s="1" t="n"/>
      <c r="R49" s="1" t="n"/>
      <c r="S49" s="1" t="n"/>
      <c r="T49" s="1" t="n"/>
      <c r="U49" s="1" t="n"/>
      <c r="V49" s="1" t="n"/>
      <c r="W49" s="1" t="n"/>
      <c r="X49" s="1" t="n"/>
      <c r="Y49" s="1" t="n"/>
      <c r="Z49" s="1" t="n"/>
      <c r="AA49" s="1" t="n"/>
      <c r="AB49" s="1" t="n"/>
    </row>
    <row r="50">
      <c r="A50" s="118" t="n"/>
      <c r="B50" s="124" t="inlineStr">
        <is>
          <t>1.23</t>
        </is>
      </c>
      <c r="C50" s="125" t="n"/>
      <c r="D50" s="126" t="n"/>
      <c r="E50" s="127" t="n"/>
      <c r="F50" s="128" t="n"/>
      <c r="G50" s="129">
        <f>IFERROR(INDEX($F$1:$F$1001,ROW())/INDEX($D$1:$D$1001,ROW()),0)</f>
        <v/>
      </c>
      <c r="H50" s="130" t="n"/>
      <c r="I50" s="1" t="n"/>
      <c r="J50" s="1" t="n"/>
      <c r="K50" s="1" t="n"/>
      <c r="L50" s="1" t="n"/>
      <c r="M50" s="1" t="n"/>
      <c r="N50" s="1" t="n"/>
      <c r="O50" s="1" t="n"/>
      <c r="P50" s="1" t="n"/>
      <c r="Q50" s="1" t="n"/>
      <c r="R50" s="1" t="n"/>
      <c r="S50" s="1" t="n"/>
      <c r="T50" s="1" t="n"/>
      <c r="U50" s="1" t="n"/>
      <c r="V50" s="1" t="n"/>
      <c r="W50" s="1" t="n"/>
      <c r="X50" s="1" t="n"/>
      <c r="Y50" s="1" t="n"/>
      <c r="Z50" s="1" t="n"/>
      <c r="AA50" s="1" t="n"/>
      <c r="AB50" s="1" t="n"/>
    </row>
    <row r="51">
      <c r="A51" s="118" t="n"/>
      <c r="B51" s="124" t="inlineStr">
        <is>
          <t>1.24</t>
        </is>
      </c>
      <c r="C51" s="125" t="n"/>
      <c r="D51" s="126" t="n"/>
      <c r="E51" s="127" t="n"/>
      <c r="F51" s="128" t="n"/>
      <c r="G51" s="129">
        <f>IFERROR(INDEX($F$1:$F$1001,ROW())/INDEX($D$1:$D$1001,ROW()),0)</f>
        <v/>
      </c>
      <c r="H51" s="130" t="n"/>
      <c r="I51" s="1" t="n"/>
      <c r="J51" s="1" t="n"/>
      <c r="K51" s="1" t="n"/>
      <c r="L51" s="1" t="n"/>
      <c r="M51" s="1" t="n"/>
      <c r="N51" s="1" t="n"/>
      <c r="O51" s="1" t="n"/>
      <c r="P51" s="1" t="n"/>
      <c r="Q51" s="1" t="n"/>
      <c r="R51" s="1" t="n"/>
      <c r="S51" s="1" t="n"/>
      <c r="T51" s="1" t="n"/>
      <c r="U51" s="1" t="n"/>
      <c r="V51" s="1" t="n"/>
      <c r="W51" s="1" t="n"/>
      <c r="X51" s="1" t="n"/>
      <c r="Y51" s="1" t="n"/>
      <c r="Z51" s="1" t="n"/>
      <c r="AA51" s="1" t="n"/>
      <c r="AB51" s="1" t="n"/>
    </row>
    <row r="52">
      <c r="A52" s="118" t="n"/>
      <c r="B52" s="124" t="inlineStr">
        <is>
          <t>1.25</t>
        </is>
      </c>
      <c r="C52" s="125" t="n"/>
      <c r="D52" s="126" t="n"/>
      <c r="E52" s="127" t="n"/>
      <c r="F52" s="128" t="n"/>
      <c r="G52" s="129">
        <f>IFERROR(INDEX($F$1:$F$1001,ROW())/INDEX($D$1:$D$1001,ROW()),0)</f>
        <v/>
      </c>
      <c r="H52" s="130" t="n"/>
      <c r="I52" s="1" t="n"/>
      <c r="J52" s="1" t="n"/>
      <c r="K52" s="1" t="n"/>
      <c r="L52" s="1" t="n"/>
      <c r="M52" s="1" t="n"/>
      <c r="N52" s="1" t="n"/>
      <c r="O52" s="1" t="n"/>
      <c r="P52" s="1" t="n"/>
      <c r="Q52" s="1" t="n"/>
      <c r="R52" s="1" t="n"/>
      <c r="S52" s="1" t="n"/>
      <c r="T52" s="1" t="n"/>
      <c r="U52" s="1" t="n"/>
      <c r="V52" s="1" t="n"/>
      <c r="W52" s="1" t="n"/>
      <c r="X52" s="1" t="n"/>
      <c r="Y52" s="1" t="n"/>
      <c r="Z52" s="1" t="n"/>
      <c r="AA52" s="1" t="n"/>
      <c r="AB52" s="1" t="n"/>
    </row>
    <row r="53">
      <c r="A53" s="118" t="n"/>
      <c r="B53" s="124" t="inlineStr">
        <is>
          <t>1.26</t>
        </is>
      </c>
      <c r="C53" s="125" t="n"/>
      <c r="D53" s="126" t="n"/>
      <c r="E53" s="127" t="n"/>
      <c r="F53" s="128" t="n"/>
      <c r="G53" s="129">
        <f>IFERROR(INDEX($F$1:$F$1001,ROW())/INDEX($D$1:$D$1001,ROW()),0)</f>
        <v/>
      </c>
      <c r="H53" s="130" t="n"/>
      <c r="I53" s="1" t="n"/>
      <c r="J53" s="1" t="n"/>
      <c r="K53" s="1" t="n"/>
      <c r="L53" s="1" t="n"/>
      <c r="M53" s="1" t="n"/>
      <c r="N53" s="1" t="n"/>
      <c r="O53" s="1" t="n"/>
      <c r="P53" s="1" t="n"/>
      <c r="Q53" s="1" t="n"/>
      <c r="R53" s="1" t="n"/>
      <c r="S53" s="1" t="n"/>
      <c r="T53" s="1" t="n"/>
      <c r="U53" s="1" t="n"/>
      <c r="V53" s="1" t="n"/>
      <c r="W53" s="1" t="n"/>
      <c r="X53" s="1" t="n"/>
      <c r="Y53" s="1" t="n"/>
      <c r="Z53" s="1" t="n"/>
      <c r="AA53" s="1" t="n"/>
      <c r="AB53" s="1" t="n"/>
    </row>
    <row r="54">
      <c r="A54" s="118" t="n"/>
      <c r="B54" s="124" t="inlineStr">
        <is>
          <t>1.27</t>
        </is>
      </c>
      <c r="C54" s="125" t="n"/>
      <c r="D54" s="126" t="n"/>
      <c r="E54" s="127" t="n"/>
      <c r="F54" s="128" t="n"/>
      <c r="G54" s="129">
        <f>IFERROR(INDEX($F$1:$F$1001,ROW())/INDEX($D$1:$D$1001,ROW()),0)</f>
        <v/>
      </c>
      <c r="H54" s="130" t="n"/>
      <c r="I54" s="1" t="n"/>
      <c r="J54" s="1" t="n"/>
      <c r="K54" s="1" t="n"/>
      <c r="L54" s="1" t="n"/>
      <c r="M54" s="1" t="n"/>
      <c r="N54" s="1" t="n"/>
      <c r="O54" s="1" t="n"/>
      <c r="P54" s="1" t="n"/>
      <c r="Q54" s="1" t="n"/>
      <c r="R54" s="1" t="n"/>
      <c r="S54" s="1" t="n"/>
      <c r="T54" s="1" t="n"/>
      <c r="U54" s="1" t="n"/>
      <c r="V54" s="1" t="n"/>
      <c r="W54" s="1" t="n"/>
      <c r="X54" s="1" t="n"/>
      <c r="Y54" s="1" t="n"/>
      <c r="Z54" s="1" t="n"/>
      <c r="AA54" s="1" t="n"/>
      <c r="AB54" s="1" t="n"/>
    </row>
    <row r="55">
      <c r="A55" s="118" t="n"/>
      <c r="B55" s="124" t="inlineStr">
        <is>
          <t>1.28</t>
        </is>
      </c>
      <c r="C55" s="125" t="n"/>
      <c r="D55" s="126" t="n"/>
      <c r="E55" s="127" t="n"/>
      <c r="F55" s="128" t="n"/>
      <c r="G55" s="129">
        <f>IFERROR(INDEX($F$1:$F$1001,ROW())/INDEX($D$1:$D$1001,ROW()),0)</f>
        <v/>
      </c>
      <c r="H55" s="130" t="n"/>
      <c r="I55" s="1" t="n"/>
      <c r="J55" s="1" t="n"/>
      <c r="K55" s="1" t="n"/>
      <c r="L55" s="1" t="n"/>
      <c r="M55" s="1" t="n"/>
      <c r="N55" s="1" t="n"/>
      <c r="O55" s="1" t="n"/>
      <c r="P55" s="1" t="n"/>
      <c r="Q55" s="1" t="n"/>
      <c r="R55" s="1" t="n"/>
      <c r="S55" s="1" t="n"/>
      <c r="T55" s="1" t="n"/>
      <c r="U55" s="1" t="n"/>
      <c r="V55" s="1" t="n"/>
      <c r="W55" s="1" t="n"/>
      <c r="X55" s="1" t="n"/>
      <c r="Y55" s="1" t="n"/>
      <c r="Z55" s="1" t="n"/>
      <c r="AA55" s="1" t="n"/>
      <c r="AB55" s="1" t="n"/>
    </row>
    <row r="56">
      <c r="A56" s="118" t="n"/>
      <c r="B56" s="124" t="inlineStr">
        <is>
          <t>1.29</t>
        </is>
      </c>
      <c r="C56" s="125" t="n"/>
      <c r="D56" s="126" t="n"/>
      <c r="E56" s="127" t="n"/>
      <c r="F56" s="128" t="n"/>
      <c r="G56" s="129">
        <f>IFERROR(INDEX($F$1:$F$1001,ROW())/INDEX($D$1:$D$1001,ROW()),0)</f>
        <v/>
      </c>
      <c r="H56" s="130" t="n"/>
      <c r="I56" s="1" t="n"/>
      <c r="J56" s="1" t="n"/>
      <c r="K56" s="1" t="n"/>
      <c r="L56" s="1" t="n"/>
      <c r="M56" s="1" t="n"/>
      <c r="N56" s="1" t="n"/>
      <c r="O56" s="1" t="n"/>
      <c r="P56" s="1" t="n"/>
      <c r="Q56" s="1" t="n"/>
      <c r="R56" s="1" t="n"/>
      <c r="S56" s="1" t="n"/>
      <c r="T56" s="1" t="n"/>
      <c r="U56" s="1" t="n"/>
      <c r="V56" s="1" t="n"/>
      <c r="W56" s="1" t="n"/>
      <c r="X56" s="1" t="n"/>
      <c r="Y56" s="1" t="n"/>
      <c r="Z56" s="1" t="n"/>
      <c r="AA56" s="1" t="n"/>
      <c r="AB56" s="1" t="n"/>
    </row>
    <row r="57">
      <c r="A57" s="118" t="n"/>
      <c r="B57" s="124" t="inlineStr">
        <is>
          <t>1.30</t>
        </is>
      </c>
      <c r="C57" s="125" t="n"/>
      <c r="D57" s="126" t="n"/>
      <c r="E57" s="127" t="n"/>
      <c r="F57" s="128" t="n"/>
      <c r="G57" s="129">
        <f>IFERROR(INDEX($F$1:$F$1001,ROW())/INDEX($D$1:$D$1001,ROW()),0)</f>
        <v/>
      </c>
      <c r="H57" s="130" t="n"/>
      <c r="I57" s="1" t="n"/>
      <c r="J57" s="1" t="n"/>
      <c r="K57" s="1" t="n"/>
      <c r="L57" s="1" t="n"/>
      <c r="M57" s="1" t="n"/>
      <c r="N57" s="1" t="n"/>
      <c r="O57" s="1" t="n"/>
      <c r="P57" s="1" t="n"/>
      <c r="Q57" s="1" t="n"/>
      <c r="R57" s="1" t="n"/>
      <c r="S57" s="1" t="n"/>
      <c r="T57" s="1" t="n"/>
      <c r="U57" s="1" t="n"/>
      <c r="V57" s="1" t="n"/>
      <c r="W57" s="1" t="n"/>
      <c r="X57" s="1" t="n"/>
      <c r="Y57" s="1" t="n"/>
      <c r="Z57" s="1" t="n"/>
      <c r="AA57" s="1" t="n"/>
      <c r="AB57" s="1" t="n"/>
    </row>
    <row r="58">
      <c r="A58" s="118" t="n"/>
      <c r="B58" s="124" t="inlineStr">
        <is>
          <t>1.31</t>
        </is>
      </c>
      <c r="C58" s="125" t="n"/>
      <c r="D58" s="126" t="n"/>
      <c r="E58" s="127" t="n"/>
      <c r="F58" s="128" t="n"/>
      <c r="G58" s="129">
        <f>IFERROR(INDEX($F$1:$F$1001,ROW())/INDEX($D$1:$D$1001,ROW()),0)</f>
        <v/>
      </c>
      <c r="H58" s="130" t="n"/>
      <c r="I58" s="1" t="n"/>
      <c r="J58" s="1" t="n"/>
      <c r="K58" s="1" t="n"/>
      <c r="L58" s="1" t="n"/>
      <c r="M58" s="1" t="n"/>
      <c r="N58" s="1" t="n"/>
      <c r="O58" s="1" t="n"/>
      <c r="P58" s="1" t="n"/>
      <c r="Q58" s="1" t="n"/>
      <c r="R58" s="1" t="n"/>
      <c r="S58" s="1" t="n"/>
      <c r="T58" s="1" t="n"/>
      <c r="U58" s="1" t="n"/>
      <c r="V58" s="1" t="n"/>
      <c r="W58" s="1" t="n"/>
      <c r="X58" s="1" t="n"/>
      <c r="Y58" s="1" t="n"/>
      <c r="Z58" s="1" t="n"/>
      <c r="AA58" s="1" t="n"/>
      <c r="AB58" s="1" t="n"/>
    </row>
    <row r="59">
      <c r="A59" s="118" t="n"/>
      <c r="B59" s="124" t="inlineStr">
        <is>
          <t>1.32</t>
        </is>
      </c>
      <c r="C59" s="125" t="n"/>
      <c r="D59" s="126" t="n"/>
      <c r="E59" s="127" t="n"/>
      <c r="F59" s="128" t="n"/>
      <c r="G59" s="129">
        <f>IFERROR(INDEX($F$1:$F$1001,ROW())/INDEX($D$1:$D$1001,ROW()),0)</f>
        <v/>
      </c>
      <c r="H59" s="130" t="n"/>
      <c r="I59" s="1" t="n"/>
      <c r="J59" s="1" t="n"/>
      <c r="K59" s="1" t="n"/>
      <c r="L59" s="1" t="n"/>
      <c r="M59" s="1" t="n"/>
      <c r="N59" s="1" t="n"/>
      <c r="O59" s="1" t="n"/>
      <c r="P59" s="1" t="n"/>
      <c r="Q59" s="1" t="n"/>
      <c r="R59" s="1" t="n"/>
      <c r="S59" s="1" t="n"/>
      <c r="T59" s="1" t="n"/>
      <c r="U59" s="1" t="n"/>
      <c r="V59" s="1" t="n"/>
      <c r="W59" s="1" t="n"/>
      <c r="X59" s="1" t="n"/>
      <c r="Y59" s="1" t="n"/>
      <c r="Z59" s="1" t="n"/>
      <c r="AA59" s="1" t="n"/>
      <c r="AB59" s="1" t="n"/>
    </row>
    <row r="60">
      <c r="A60" s="118" t="n"/>
      <c r="B60" s="124" t="inlineStr">
        <is>
          <t>1.33</t>
        </is>
      </c>
      <c r="C60" s="125" t="n"/>
      <c r="D60" s="126" t="n"/>
      <c r="E60" s="127" t="n"/>
      <c r="F60" s="128" t="n"/>
      <c r="G60" s="129">
        <f>IFERROR(INDEX($F$1:$F$1001,ROW())/INDEX($D$1:$D$1001,ROW()),0)</f>
        <v/>
      </c>
      <c r="H60" s="130" t="n"/>
      <c r="I60" s="1" t="n"/>
      <c r="J60" s="1" t="n"/>
      <c r="K60" s="1" t="n"/>
      <c r="L60" s="1" t="n"/>
      <c r="M60" s="1" t="n"/>
      <c r="N60" s="1" t="n"/>
      <c r="O60" s="1" t="n"/>
      <c r="P60" s="1" t="n"/>
      <c r="Q60" s="1" t="n"/>
      <c r="R60" s="1" t="n"/>
      <c r="S60" s="1" t="n"/>
      <c r="T60" s="1" t="n"/>
      <c r="U60" s="1" t="n"/>
      <c r="V60" s="1" t="n"/>
      <c r="W60" s="1" t="n"/>
      <c r="X60" s="1" t="n"/>
      <c r="Y60" s="1" t="n"/>
      <c r="Z60" s="1" t="n"/>
      <c r="AA60" s="1" t="n"/>
      <c r="AB60" s="1" t="n"/>
    </row>
    <row r="61">
      <c r="A61" s="118" t="n"/>
      <c r="B61" s="124" t="inlineStr">
        <is>
          <t>1.34</t>
        </is>
      </c>
      <c r="C61" s="125" t="n"/>
      <c r="D61" s="126" t="n"/>
      <c r="E61" s="127" t="n"/>
      <c r="F61" s="128" t="n"/>
      <c r="G61" s="129">
        <f>IFERROR(INDEX($F$1:$F$1001,ROW())/INDEX($D$1:$D$1001,ROW()),0)</f>
        <v/>
      </c>
      <c r="H61" s="130" t="n"/>
      <c r="I61" s="1" t="n"/>
      <c r="J61" s="1" t="n"/>
      <c r="K61" s="1" t="n"/>
      <c r="L61" s="1" t="n"/>
      <c r="M61" s="1" t="n"/>
      <c r="N61" s="1" t="n"/>
      <c r="O61" s="1" t="n"/>
      <c r="P61" s="1" t="n"/>
      <c r="Q61" s="1" t="n"/>
      <c r="R61" s="1" t="n"/>
      <c r="S61" s="1" t="n"/>
      <c r="T61" s="1" t="n"/>
      <c r="U61" s="1" t="n"/>
      <c r="V61" s="1" t="n"/>
      <c r="W61" s="1" t="n"/>
      <c r="X61" s="1" t="n"/>
      <c r="Y61" s="1" t="n"/>
      <c r="Z61" s="1" t="n"/>
      <c r="AA61" s="1" t="n"/>
      <c r="AB61" s="1" t="n"/>
    </row>
    <row r="62">
      <c r="A62" s="118" t="n"/>
      <c r="B62" s="124" t="inlineStr">
        <is>
          <t>1.35</t>
        </is>
      </c>
      <c r="C62" s="125" t="n"/>
      <c r="D62" s="126" t="n"/>
      <c r="E62" s="127" t="n"/>
      <c r="F62" s="128" t="n"/>
      <c r="G62" s="129">
        <f>IFERROR(INDEX($F$1:$F$1001,ROW())/INDEX($D$1:$D$1001,ROW()),0)</f>
        <v/>
      </c>
      <c r="H62" s="130" t="n"/>
      <c r="I62" s="1" t="n"/>
      <c r="J62" s="1" t="n"/>
      <c r="K62" s="1" t="n"/>
      <c r="L62" s="1" t="n"/>
      <c r="M62" s="1" t="n"/>
      <c r="N62" s="1" t="n"/>
      <c r="O62" s="1" t="n"/>
      <c r="P62" s="1" t="n"/>
      <c r="Q62" s="1" t="n"/>
      <c r="R62" s="1" t="n"/>
      <c r="S62" s="1" t="n"/>
      <c r="T62" s="1" t="n"/>
      <c r="U62" s="1" t="n"/>
      <c r="V62" s="1" t="n"/>
      <c r="W62" s="1" t="n"/>
      <c r="X62" s="1" t="n"/>
      <c r="Y62" s="1" t="n"/>
      <c r="Z62" s="1" t="n"/>
      <c r="AA62" s="1" t="n"/>
      <c r="AB62" s="1" t="n"/>
    </row>
    <row r="63">
      <c r="A63" s="118" t="n"/>
      <c r="B63" s="124" t="inlineStr">
        <is>
          <t>1.36</t>
        </is>
      </c>
      <c r="C63" s="125" t="n"/>
      <c r="D63" s="126" t="n"/>
      <c r="E63" s="127" t="n"/>
      <c r="F63" s="128" t="n"/>
      <c r="G63" s="129">
        <f>IFERROR(INDEX($F$1:$F$1001,ROW())/INDEX($D$1:$D$1001,ROW()),0)</f>
        <v/>
      </c>
      <c r="H63" s="130" t="n"/>
      <c r="I63" s="1" t="n"/>
      <c r="J63" s="1" t="n"/>
      <c r="K63" s="1" t="n"/>
      <c r="L63" s="1" t="n"/>
      <c r="M63" s="1" t="n"/>
      <c r="N63" s="1" t="n"/>
      <c r="O63" s="1" t="n"/>
      <c r="P63" s="1" t="n"/>
      <c r="Q63" s="1" t="n"/>
      <c r="R63" s="1" t="n"/>
      <c r="S63" s="1" t="n"/>
      <c r="T63" s="1" t="n"/>
      <c r="U63" s="1" t="n"/>
      <c r="V63" s="1" t="n"/>
      <c r="W63" s="1" t="n"/>
      <c r="X63" s="1" t="n"/>
      <c r="Y63" s="1" t="n"/>
      <c r="Z63" s="1" t="n"/>
      <c r="AA63" s="1" t="n"/>
      <c r="AB63" s="1" t="n"/>
    </row>
    <row r="64">
      <c r="A64" s="118" t="n"/>
      <c r="B64" s="124" t="inlineStr">
        <is>
          <t>1.37</t>
        </is>
      </c>
      <c r="C64" s="125" t="n"/>
      <c r="D64" s="126" t="n"/>
      <c r="E64" s="127" t="n"/>
      <c r="F64" s="128" t="n"/>
      <c r="G64" s="129">
        <f>IFERROR(INDEX($F$1:$F$1001,ROW())/INDEX($D$1:$D$1001,ROW()),0)</f>
        <v/>
      </c>
      <c r="H64" s="130" t="n"/>
      <c r="I64" s="1" t="n"/>
      <c r="J64" s="1" t="n"/>
      <c r="K64" s="1" t="n"/>
      <c r="L64" s="1" t="n"/>
      <c r="M64" s="1" t="n"/>
      <c r="N64" s="1" t="n"/>
      <c r="O64" s="1" t="n"/>
      <c r="P64" s="1" t="n"/>
      <c r="Q64" s="1" t="n"/>
      <c r="R64" s="1" t="n"/>
      <c r="S64" s="1" t="n"/>
      <c r="T64" s="1" t="n"/>
      <c r="U64" s="1" t="n"/>
      <c r="V64" s="1" t="n"/>
      <c r="W64" s="1" t="n"/>
      <c r="X64" s="1" t="n"/>
      <c r="Y64" s="1" t="n"/>
      <c r="Z64" s="1" t="n"/>
      <c r="AA64" s="1" t="n"/>
      <c r="AB64" s="1" t="n"/>
    </row>
    <row r="65">
      <c r="A65" s="118" t="n"/>
      <c r="B65" s="124" t="inlineStr">
        <is>
          <t>1.38</t>
        </is>
      </c>
      <c r="C65" s="125" t="n"/>
      <c r="D65" s="126" t="n"/>
      <c r="E65" s="127" t="n"/>
      <c r="F65" s="128" t="n"/>
      <c r="G65" s="129">
        <f>IFERROR(INDEX($F$1:$F$1001,ROW())/INDEX($D$1:$D$1001,ROW()),0)</f>
        <v/>
      </c>
      <c r="H65" s="130" t="n"/>
      <c r="I65" s="1" t="n"/>
      <c r="J65" s="1" t="n"/>
      <c r="K65" s="1" t="n"/>
      <c r="L65" s="1" t="n"/>
      <c r="M65" s="1" t="n"/>
      <c r="N65" s="1" t="n"/>
      <c r="O65" s="1" t="n"/>
      <c r="P65" s="1" t="n"/>
      <c r="Q65" s="1" t="n"/>
      <c r="R65" s="1" t="n"/>
      <c r="S65" s="1" t="n"/>
      <c r="T65" s="1" t="n"/>
      <c r="U65" s="1" t="n"/>
      <c r="V65" s="1" t="n"/>
      <c r="W65" s="1" t="n"/>
      <c r="X65" s="1" t="n"/>
      <c r="Y65" s="1" t="n"/>
      <c r="Z65" s="1" t="n"/>
      <c r="AA65" s="1" t="n"/>
      <c r="AB65" s="1" t="n"/>
    </row>
    <row r="66">
      <c r="A66" s="118" t="n"/>
      <c r="B66" s="124" t="inlineStr">
        <is>
          <t>1.39</t>
        </is>
      </c>
      <c r="C66" s="125" t="n"/>
      <c r="D66" s="126" t="n"/>
      <c r="E66" s="127" t="n"/>
      <c r="F66" s="128" t="n"/>
      <c r="G66" s="129">
        <f>IFERROR(INDEX($F$1:$F$1001,ROW())/INDEX($D$1:$D$1001,ROW()),0)</f>
        <v/>
      </c>
      <c r="H66" s="130" t="n"/>
      <c r="I66" s="1" t="n"/>
      <c r="J66" s="1" t="n"/>
      <c r="K66" s="1" t="n"/>
      <c r="L66" s="1" t="n"/>
      <c r="M66" s="1" t="n"/>
      <c r="N66" s="1" t="n"/>
      <c r="O66" s="1" t="n"/>
      <c r="P66" s="1" t="n"/>
      <c r="Q66" s="1" t="n"/>
      <c r="R66" s="1" t="n"/>
      <c r="S66" s="1" t="n"/>
      <c r="T66" s="1" t="n"/>
      <c r="U66" s="1" t="n"/>
      <c r="V66" s="1" t="n"/>
      <c r="W66" s="1" t="n"/>
      <c r="X66" s="1" t="n"/>
      <c r="Y66" s="1" t="n"/>
      <c r="Z66" s="1" t="n"/>
      <c r="AA66" s="1" t="n"/>
      <c r="AB66" s="1" t="n"/>
    </row>
    <row r="67">
      <c r="A67" s="118" t="n"/>
      <c r="B67" s="124" t="inlineStr">
        <is>
          <t>1.40</t>
        </is>
      </c>
      <c r="C67" s="125" t="n"/>
      <c r="D67" s="126" t="n"/>
      <c r="E67" s="127" t="n"/>
      <c r="F67" s="128" t="n"/>
      <c r="G67" s="129">
        <f>IFERROR(INDEX($F$1:$F$1001,ROW())/INDEX($D$1:$D$1001,ROW()),0)</f>
        <v/>
      </c>
      <c r="H67" s="130" t="n"/>
      <c r="I67" s="1" t="n"/>
      <c r="J67" s="1" t="n"/>
      <c r="K67" s="1" t="n"/>
      <c r="L67" s="1" t="n"/>
      <c r="M67" s="1" t="n"/>
      <c r="N67" s="1" t="n"/>
      <c r="O67" s="1" t="n"/>
      <c r="P67" s="1" t="n"/>
      <c r="Q67" s="1" t="n"/>
      <c r="R67" s="1" t="n"/>
      <c r="S67" s="1" t="n"/>
      <c r="T67" s="1" t="n"/>
      <c r="U67" s="1" t="n"/>
      <c r="V67" s="1" t="n"/>
      <c r="W67" s="1" t="n"/>
      <c r="X67" s="1" t="n"/>
      <c r="Y67" s="1" t="n"/>
      <c r="Z67" s="1" t="n"/>
      <c r="AA67" s="1" t="n"/>
      <c r="AB67" s="1" t="n"/>
    </row>
    <row r="68">
      <c r="A68" s="118" t="n"/>
      <c r="B68" s="131">
        <f>IF($E$2="","",VLOOKUP($E$2,Sprachversionen!$B:$BN,30,FALSE))</f>
        <v/>
      </c>
      <c r="C68" s="132" t="n"/>
      <c r="D68" s="133">
        <f>SUMPRODUCT(ROUND(D28:D67,2))</f>
        <v/>
      </c>
      <c r="E68" s="133">
        <f>SUMPRODUCT(ROUND(E28:E67,2))</f>
        <v/>
      </c>
      <c r="F68" s="133">
        <f>SUMPRODUCT(ROUND(F28:F67,2))</f>
        <v/>
      </c>
      <c r="G68" s="134">
        <f>IFERROR(INDEX($F$1:$F$1001,ROW())/INDEX($D$1:$D$1001,ROW()),0)</f>
        <v/>
      </c>
      <c r="H68" s="135" t="n"/>
      <c r="I68" s="1" t="n"/>
      <c r="J68" s="1" t="n"/>
      <c r="K68" s="1" t="n"/>
      <c r="L68" s="1" t="n"/>
      <c r="M68" s="1" t="n"/>
      <c r="N68" s="1" t="n"/>
      <c r="O68" s="1" t="n"/>
      <c r="P68" s="1" t="n"/>
      <c r="Q68" s="1" t="n"/>
      <c r="R68" s="1" t="n"/>
      <c r="S68" s="1" t="n"/>
      <c r="T68" s="1" t="n"/>
      <c r="U68" s="1" t="n"/>
      <c r="V68" s="1" t="n"/>
      <c r="W68" s="1" t="n"/>
      <c r="X68" s="1" t="n"/>
      <c r="Y68" s="1" t="n"/>
      <c r="Z68" s="1" t="n"/>
      <c r="AA68" s="1" t="n"/>
      <c r="AB68" s="1" t="n"/>
    </row>
    <row r="69">
      <c r="A69" s="118" t="n"/>
      <c r="B69" s="119" t="inlineStr">
        <is>
          <t>2.</t>
        </is>
      </c>
      <c r="C69" s="120">
        <f>IF($E$2="","",VLOOKUP($E$2,Sprachversionen!$B:$BN,31,FALSE))</f>
        <v/>
      </c>
      <c r="D69" s="121" t="n"/>
      <c r="E69" s="121" t="n"/>
      <c r="F69" s="121" t="n"/>
      <c r="G69" s="122" t="n"/>
      <c r="H69" s="123" t="n"/>
      <c r="I69" s="1" t="n"/>
      <c r="J69" s="1" t="n"/>
      <c r="K69" s="1" t="n"/>
      <c r="L69" s="1" t="n"/>
      <c r="M69" s="1" t="n"/>
      <c r="N69" s="1" t="n"/>
      <c r="O69" s="1" t="n"/>
      <c r="P69" s="1" t="n"/>
      <c r="Q69" s="1" t="n"/>
      <c r="R69" s="1" t="n"/>
      <c r="S69" s="1" t="n"/>
      <c r="T69" s="1" t="n"/>
      <c r="U69" s="1" t="n"/>
      <c r="V69" s="1" t="n"/>
      <c r="W69" s="1" t="n"/>
      <c r="X69" s="1" t="n"/>
      <c r="Y69" s="1" t="n"/>
      <c r="Z69" s="1" t="n"/>
      <c r="AA69" s="1" t="n"/>
      <c r="AB69" s="1" t="n"/>
    </row>
    <row r="70">
      <c r="A70" s="118" t="n"/>
      <c r="B70" s="124" t="inlineStr">
        <is>
          <t>2.1</t>
        </is>
      </c>
      <c r="C70" s="125" t="n"/>
      <c r="D70" s="126" t="n"/>
      <c r="E70" s="127" t="n"/>
      <c r="F70" s="128" t="n"/>
      <c r="G70" s="129">
        <f>IFERROR(INDEX($F$1:$F$1001,ROW())/INDEX($D$1:$D$1001,ROW()),0)</f>
        <v/>
      </c>
      <c r="H70" s="130" t="n"/>
      <c r="I70" s="1" t="n"/>
      <c r="J70" s="1" t="n"/>
      <c r="K70" s="1" t="n"/>
      <c r="L70" s="1" t="n"/>
      <c r="M70" s="1" t="n"/>
      <c r="N70" s="1" t="n"/>
      <c r="O70" s="1" t="n"/>
      <c r="P70" s="1" t="n"/>
      <c r="Q70" s="1" t="n"/>
      <c r="R70" s="1" t="n"/>
      <c r="S70" s="1" t="n"/>
      <c r="T70" s="1" t="n"/>
      <c r="U70" s="1" t="n"/>
      <c r="V70" s="1" t="n"/>
      <c r="W70" s="1" t="n"/>
      <c r="X70" s="1" t="n"/>
      <c r="Y70" s="1" t="n"/>
      <c r="Z70" s="1" t="n"/>
      <c r="AA70" s="1" t="n"/>
      <c r="AB70" s="1" t="n"/>
    </row>
    <row r="71">
      <c r="A71" s="118" t="n"/>
      <c r="B71" s="124" t="inlineStr">
        <is>
          <t>2.2</t>
        </is>
      </c>
      <c r="C71" s="125" t="n"/>
      <c r="D71" s="126" t="n"/>
      <c r="E71" s="127" t="n"/>
      <c r="F71" s="128" t="n"/>
      <c r="G71" s="129">
        <f>IFERROR(INDEX($F$1:$F$1001,ROW())/INDEX($D$1:$D$1001,ROW()),0)</f>
        <v/>
      </c>
      <c r="H71" s="130" t="n"/>
      <c r="I71" s="1" t="n"/>
      <c r="J71" s="1" t="n"/>
      <c r="K71" s="1" t="n"/>
      <c r="L71" s="1" t="n"/>
      <c r="M71" s="1" t="n"/>
      <c r="N71" s="1" t="n"/>
      <c r="O71" s="1" t="n"/>
      <c r="P71" s="1" t="n"/>
      <c r="Q71" s="1" t="n"/>
      <c r="R71" s="1" t="n"/>
      <c r="S71" s="1" t="n"/>
      <c r="T71" s="1" t="n"/>
      <c r="U71" s="1" t="n"/>
      <c r="V71" s="1" t="n"/>
      <c r="W71" s="1" t="n"/>
      <c r="X71" s="1" t="n"/>
      <c r="Y71" s="1" t="n"/>
      <c r="Z71" s="1" t="n"/>
      <c r="AA71" s="1" t="n"/>
      <c r="AB71" s="1" t="n"/>
    </row>
    <row r="72">
      <c r="A72" s="118" t="n"/>
      <c r="B72" s="124" t="inlineStr">
        <is>
          <t>2.3</t>
        </is>
      </c>
      <c r="C72" s="125" t="n"/>
      <c r="D72" s="126" t="n"/>
      <c r="E72" s="127" t="n"/>
      <c r="F72" s="128" t="n"/>
      <c r="G72" s="129">
        <f>IFERROR(INDEX($F$1:$F$1001,ROW())/INDEX($D$1:$D$1001,ROW()),0)</f>
        <v/>
      </c>
      <c r="H72" s="130" t="n"/>
      <c r="I72" s="1" t="n"/>
      <c r="J72" s="1" t="n"/>
      <c r="K72" s="1" t="n"/>
      <c r="L72" s="1" t="n"/>
      <c r="M72" s="1" t="n"/>
      <c r="N72" s="1" t="n"/>
      <c r="O72" s="1" t="n"/>
      <c r="P72" s="1" t="n"/>
      <c r="Q72" s="1" t="n"/>
      <c r="R72" s="1" t="n"/>
      <c r="S72" s="1" t="n"/>
      <c r="T72" s="1" t="n"/>
      <c r="U72" s="1" t="n"/>
      <c r="V72" s="1" t="n"/>
      <c r="W72" s="1" t="n"/>
      <c r="X72" s="1" t="n"/>
      <c r="Y72" s="1" t="n"/>
      <c r="Z72" s="1" t="n"/>
      <c r="AA72" s="1" t="n"/>
      <c r="AB72" s="1" t="n"/>
    </row>
    <row r="73">
      <c r="A73" s="118" t="n"/>
      <c r="B73" s="124" t="inlineStr">
        <is>
          <t>2.4</t>
        </is>
      </c>
      <c r="C73" s="125" t="n"/>
      <c r="D73" s="126" t="n"/>
      <c r="E73" s="127" t="n"/>
      <c r="F73" s="128" t="n"/>
      <c r="G73" s="129">
        <f>IFERROR(INDEX($F$1:$F$1001,ROW())/INDEX($D$1:$D$1001,ROW()),0)</f>
        <v/>
      </c>
      <c r="H73" s="130" t="n"/>
      <c r="I73" s="1" t="n"/>
      <c r="J73" s="1" t="n"/>
      <c r="K73" s="1" t="n"/>
      <c r="L73" s="1" t="n"/>
      <c r="M73" s="1" t="n"/>
      <c r="N73" s="1" t="n"/>
      <c r="O73" s="1" t="n"/>
      <c r="P73" s="1" t="n"/>
      <c r="Q73" s="1" t="n"/>
      <c r="R73" s="1" t="n"/>
      <c r="S73" s="1" t="n"/>
      <c r="T73" s="1" t="n"/>
      <c r="U73" s="1" t="n"/>
      <c r="V73" s="1" t="n"/>
      <c r="W73" s="1" t="n"/>
      <c r="X73" s="1" t="n"/>
      <c r="Y73" s="1" t="n"/>
      <c r="Z73" s="1" t="n"/>
      <c r="AA73" s="1" t="n"/>
      <c r="AB73" s="1" t="n"/>
    </row>
    <row r="74">
      <c r="A74" s="118" t="n"/>
      <c r="B74" s="124" t="inlineStr">
        <is>
          <t>2.5</t>
        </is>
      </c>
      <c r="C74" s="125" t="n"/>
      <c r="D74" s="126" t="n"/>
      <c r="E74" s="127" t="n"/>
      <c r="F74" s="128" t="n"/>
      <c r="G74" s="129">
        <f>IFERROR(INDEX($F$1:$F$1001,ROW())/INDEX($D$1:$D$1001,ROW()),0)</f>
        <v/>
      </c>
      <c r="H74" s="130" t="n"/>
      <c r="I74" s="1" t="n"/>
      <c r="J74" s="1" t="n"/>
      <c r="K74" s="1" t="n"/>
      <c r="L74" s="1" t="n"/>
      <c r="M74" s="1" t="n"/>
      <c r="N74" s="1" t="n"/>
      <c r="O74" s="1" t="n"/>
      <c r="P74" s="1" t="n"/>
      <c r="Q74" s="1" t="n"/>
      <c r="R74" s="1" t="n"/>
      <c r="S74" s="1" t="n"/>
      <c r="T74" s="1" t="n"/>
      <c r="U74" s="1" t="n"/>
      <c r="V74" s="1" t="n"/>
      <c r="W74" s="1" t="n"/>
      <c r="X74" s="1" t="n"/>
      <c r="Y74" s="1" t="n"/>
      <c r="Z74" s="1" t="n"/>
      <c r="AA74" s="1" t="n"/>
      <c r="AB74" s="1" t="n"/>
    </row>
    <row r="75">
      <c r="A75" s="118" t="n"/>
      <c r="B75" s="124" t="inlineStr">
        <is>
          <t>2.6</t>
        </is>
      </c>
      <c r="C75" s="125" t="n"/>
      <c r="D75" s="126" t="n"/>
      <c r="E75" s="127" t="n"/>
      <c r="F75" s="128" t="n"/>
      <c r="G75" s="129">
        <f>IFERROR(INDEX($F$1:$F$1001,ROW())/INDEX($D$1:$D$1001,ROW()),0)</f>
        <v/>
      </c>
      <c r="H75" s="130" t="n"/>
      <c r="I75" s="1" t="n"/>
      <c r="J75" s="1" t="n"/>
      <c r="K75" s="1" t="n"/>
      <c r="L75" s="1" t="n"/>
      <c r="M75" s="1" t="n"/>
      <c r="N75" s="1" t="n"/>
      <c r="O75" s="1" t="n"/>
      <c r="P75" s="1" t="n"/>
      <c r="Q75" s="1" t="n"/>
      <c r="R75" s="1" t="n"/>
      <c r="S75" s="1" t="n"/>
      <c r="T75" s="1" t="n"/>
      <c r="U75" s="1" t="n"/>
      <c r="V75" s="1" t="n"/>
      <c r="W75" s="1" t="n"/>
      <c r="X75" s="1" t="n"/>
      <c r="Y75" s="1" t="n"/>
      <c r="Z75" s="1" t="n"/>
      <c r="AA75" s="1" t="n"/>
      <c r="AB75" s="1" t="n"/>
    </row>
    <row r="76">
      <c r="A76" s="118" t="n"/>
      <c r="B76" s="124" t="inlineStr">
        <is>
          <t>2.7</t>
        </is>
      </c>
      <c r="C76" s="125" t="n"/>
      <c r="D76" s="126" t="n"/>
      <c r="E76" s="127" t="n"/>
      <c r="F76" s="128" t="n"/>
      <c r="G76" s="129">
        <f>IFERROR(INDEX($F$1:$F$1001,ROW())/INDEX($D$1:$D$1001,ROW()),0)</f>
        <v/>
      </c>
      <c r="H76" s="130" t="n"/>
      <c r="I76" s="1" t="n"/>
      <c r="J76" s="1" t="n"/>
      <c r="K76" s="1" t="n"/>
      <c r="L76" s="1" t="n"/>
      <c r="M76" s="1" t="n"/>
      <c r="N76" s="1" t="n"/>
      <c r="O76" s="1" t="n"/>
      <c r="P76" s="1" t="n"/>
      <c r="Q76" s="1" t="n"/>
      <c r="R76" s="1" t="n"/>
      <c r="S76" s="1" t="n"/>
      <c r="T76" s="1" t="n"/>
      <c r="U76" s="1" t="n"/>
      <c r="V76" s="1" t="n"/>
      <c r="W76" s="1" t="n"/>
      <c r="X76" s="1" t="n"/>
      <c r="Y76" s="1" t="n"/>
      <c r="Z76" s="1" t="n"/>
      <c r="AA76" s="1" t="n"/>
      <c r="AB76" s="1" t="n"/>
    </row>
    <row r="77">
      <c r="A77" s="118" t="n"/>
      <c r="B77" s="124" t="inlineStr">
        <is>
          <t>2.8</t>
        </is>
      </c>
      <c r="C77" s="125" t="n"/>
      <c r="D77" s="126" t="n"/>
      <c r="E77" s="127" t="n"/>
      <c r="F77" s="128" t="n"/>
      <c r="G77" s="129">
        <f>IFERROR(INDEX($F$1:$F$1001,ROW())/INDEX($D$1:$D$1001,ROW()),0)</f>
        <v/>
      </c>
      <c r="H77" s="130" t="n"/>
      <c r="I77" s="1" t="n"/>
      <c r="J77" s="1" t="n"/>
      <c r="K77" s="1" t="n"/>
      <c r="L77" s="1" t="n"/>
      <c r="M77" s="1" t="n"/>
      <c r="N77" s="1" t="n"/>
      <c r="O77" s="1" t="n"/>
      <c r="P77" s="1" t="n"/>
      <c r="Q77" s="1" t="n"/>
      <c r="R77" s="1" t="n"/>
      <c r="S77" s="1" t="n"/>
      <c r="T77" s="1" t="n"/>
      <c r="U77" s="1" t="n"/>
      <c r="V77" s="1" t="n"/>
      <c r="W77" s="1" t="n"/>
      <c r="X77" s="1" t="n"/>
      <c r="Y77" s="1" t="n"/>
      <c r="Z77" s="1" t="n"/>
      <c r="AA77" s="1" t="n"/>
      <c r="AB77" s="1" t="n"/>
    </row>
    <row r="78">
      <c r="A78" s="118" t="n"/>
      <c r="B78" s="124" t="inlineStr">
        <is>
          <t>2.9</t>
        </is>
      </c>
      <c r="C78" s="125" t="n"/>
      <c r="D78" s="126" t="n"/>
      <c r="E78" s="127" t="n"/>
      <c r="F78" s="128" t="n"/>
      <c r="G78" s="129">
        <f>IFERROR(INDEX($F$1:$F$1001,ROW())/INDEX($D$1:$D$1001,ROW()),0)</f>
        <v/>
      </c>
      <c r="H78" s="130" t="n"/>
      <c r="I78" s="1" t="n"/>
      <c r="J78" s="1" t="n"/>
      <c r="K78" s="1" t="n"/>
      <c r="L78" s="1" t="n"/>
      <c r="M78" s="1" t="n"/>
      <c r="N78" s="1" t="n"/>
      <c r="O78" s="1" t="n"/>
      <c r="P78" s="1" t="n"/>
      <c r="Q78" s="1" t="n"/>
      <c r="R78" s="1" t="n"/>
      <c r="S78" s="1" t="n"/>
      <c r="T78" s="1" t="n"/>
      <c r="U78" s="1" t="n"/>
      <c r="V78" s="1" t="n"/>
      <c r="W78" s="1" t="n"/>
      <c r="X78" s="1" t="n"/>
      <c r="Y78" s="1" t="n"/>
      <c r="Z78" s="1" t="n"/>
      <c r="AA78" s="1" t="n"/>
      <c r="AB78" s="1" t="n"/>
    </row>
    <row r="79">
      <c r="A79" s="118" t="n"/>
      <c r="B79" s="124" t="inlineStr">
        <is>
          <t>2.10</t>
        </is>
      </c>
      <c r="C79" s="125" t="n"/>
      <c r="D79" s="126" t="n"/>
      <c r="E79" s="127" t="n"/>
      <c r="F79" s="128" t="n"/>
      <c r="G79" s="129">
        <f>IFERROR(INDEX($F$1:$F$1001,ROW())/INDEX($D$1:$D$1001,ROW()),0)</f>
        <v/>
      </c>
      <c r="H79" s="130" t="n"/>
      <c r="I79" s="1" t="n"/>
      <c r="J79" s="1" t="n"/>
      <c r="K79" s="1" t="n"/>
      <c r="L79" s="1" t="n"/>
      <c r="M79" s="1" t="n"/>
      <c r="N79" s="1" t="n"/>
      <c r="O79" s="1" t="n"/>
      <c r="P79" s="1" t="n"/>
      <c r="Q79" s="1" t="n"/>
      <c r="R79" s="1" t="n"/>
      <c r="S79" s="1" t="n"/>
      <c r="T79" s="1" t="n"/>
      <c r="U79" s="1" t="n"/>
      <c r="V79" s="1" t="n"/>
      <c r="W79" s="1" t="n"/>
      <c r="X79" s="1" t="n"/>
      <c r="Y79" s="1" t="n"/>
      <c r="Z79" s="1" t="n"/>
      <c r="AA79" s="1" t="n"/>
      <c r="AB79" s="1" t="n"/>
    </row>
    <row r="80">
      <c r="A80" s="118" t="n"/>
      <c r="B80" s="124" t="inlineStr">
        <is>
          <t>2.11</t>
        </is>
      </c>
      <c r="C80" s="125" t="n"/>
      <c r="D80" s="126" t="n"/>
      <c r="E80" s="127" t="n"/>
      <c r="F80" s="128" t="n"/>
      <c r="G80" s="129">
        <f>IFERROR(INDEX($F$1:$F$1001,ROW())/INDEX($D$1:$D$1001,ROW()),0)</f>
        <v/>
      </c>
      <c r="H80" s="130" t="n"/>
      <c r="I80" s="1" t="n"/>
      <c r="J80" s="1" t="n"/>
      <c r="K80" s="1" t="n"/>
      <c r="L80" s="1" t="n"/>
      <c r="M80" s="1" t="n"/>
      <c r="N80" s="1" t="n"/>
      <c r="O80" s="1" t="n"/>
      <c r="P80" s="1" t="n"/>
      <c r="Q80" s="1" t="n"/>
      <c r="R80" s="1" t="n"/>
      <c r="S80" s="1" t="n"/>
      <c r="T80" s="1" t="n"/>
      <c r="U80" s="1" t="n"/>
      <c r="V80" s="1" t="n"/>
      <c r="W80" s="1" t="n"/>
      <c r="X80" s="1" t="n"/>
      <c r="Y80" s="1" t="n"/>
      <c r="Z80" s="1" t="n"/>
      <c r="AA80" s="1" t="n"/>
      <c r="AB80" s="1" t="n"/>
    </row>
    <row r="81">
      <c r="A81" s="118" t="n"/>
      <c r="B81" s="124" t="inlineStr">
        <is>
          <t>2.12</t>
        </is>
      </c>
      <c r="C81" s="125" t="n"/>
      <c r="D81" s="126" t="n"/>
      <c r="E81" s="127" t="n"/>
      <c r="F81" s="128" t="n"/>
      <c r="G81" s="129">
        <f>IFERROR(INDEX($F$1:$F$1001,ROW())/INDEX($D$1:$D$1001,ROW()),0)</f>
        <v/>
      </c>
      <c r="H81" s="130" t="n"/>
      <c r="I81" s="1" t="n"/>
      <c r="J81" s="1" t="n"/>
      <c r="K81" s="1" t="n"/>
      <c r="L81" s="1" t="n"/>
      <c r="M81" s="1" t="n"/>
      <c r="N81" s="1" t="n"/>
      <c r="O81" s="1" t="n"/>
      <c r="P81" s="1" t="n"/>
      <c r="Q81" s="1" t="n"/>
      <c r="R81" s="1" t="n"/>
      <c r="S81" s="1" t="n"/>
      <c r="T81" s="1" t="n"/>
      <c r="U81" s="1" t="n"/>
      <c r="V81" s="1" t="n"/>
      <c r="W81" s="1" t="n"/>
      <c r="X81" s="1" t="n"/>
      <c r="Y81" s="1" t="n"/>
      <c r="Z81" s="1" t="n"/>
      <c r="AA81" s="1" t="n"/>
      <c r="AB81" s="1" t="n"/>
    </row>
    <row r="82">
      <c r="A82" s="118" t="n"/>
      <c r="B82" s="124" t="inlineStr">
        <is>
          <t>2.13</t>
        </is>
      </c>
      <c r="C82" s="125" t="n"/>
      <c r="D82" s="126" t="n"/>
      <c r="E82" s="127" t="n"/>
      <c r="F82" s="128" t="n"/>
      <c r="G82" s="129">
        <f>IFERROR(INDEX($F$1:$F$1001,ROW())/INDEX($D$1:$D$1001,ROW()),0)</f>
        <v/>
      </c>
      <c r="H82" s="130" t="n"/>
      <c r="I82" s="1" t="n"/>
      <c r="J82" s="1" t="n"/>
      <c r="K82" s="1" t="n"/>
      <c r="L82" s="1" t="n"/>
      <c r="M82" s="1" t="n"/>
      <c r="N82" s="1" t="n"/>
      <c r="O82" s="1" t="n"/>
      <c r="P82" s="1" t="n"/>
      <c r="Q82" s="1" t="n"/>
      <c r="R82" s="1" t="n"/>
      <c r="S82" s="1" t="n"/>
      <c r="T82" s="1" t="n"/>
      <c r="U82" s="1" t="n"/>
      <c r="V82" s="1" t="n"/>
      <c r="W82" s="1" t="n"/>
      <c r="X82" s="1" t="n"/>
      <c r="Y82" s="1" t="n"/>
      <c r="Z82" s="1" t="n"/>
      <c r="AA82" s="1" t="n"/>
      <c r="AB82" s="1" t="n"/>
    </row>
    <row r="83">
      <c r="A83" s="118" t="n"/>
      <c r="B83" s="124" t="inlineStr">
        <is>
          <t>2.14</t>
        </is>
      </c>
      <c r="C83" s="125" t="n"/>
      <c r="D83" s="126" t="n"/>
      <c r="E83" s="127" t="n"/>
      <c r="F83" s="128" t="n"/>
      <c r="G83" s="129">
        <f>IFERROR(INDEX($F$1:$F$1001,ROW())/INDEX($D$1:$D$1001,ROW()),0)</f>
        <v/>
      </c>
      <c r="H83" s="130" t="n"/>
      <c r="I83" s="1" t="n"/>
      <c r="J83" s="1" t="n"/>
      <c r="K83" s="1" t="n"/>
      <c r="L83" s="1" t="n"/>
      <c r="M83" s="1" t="n"/>
      <c r="N83" s="1" t="n"/>
      <c r="O83" s="1" t="n"/>
      <c r="P83" s="1" t="n"/>
      <c r="Q83" s="1" t="n"/>
      <c r="R83" s="1" t="n"/>
      <c r="S83" s="1" t="n"/>
      <c r="T83" s="1" t="n"/>
      <c r="U83" s="1" t="n"/>
      <c r="V83" s="1" t="n"/>
      <c r="W83" s="1" t="n"/>
      <c r="X83" s="1" t="n"/>
      <c r="Y83" s="1" t="n"/>
      <c r="Z83" s="1" t="n"/>
      <c r="AA83" s="1" t="n"/>
      <c r="AB83" s="1" t="n"/>
    </row>
    <row r="84">
      <c r="A84" s="118" t="n"/>
      <c r="B84" s="124" t="inlineStr">
        <is>
          <t>2.15</t>
        </is>
      </c>
      <c r="C84" s="125" t="n"/>
      <c r="D84" s="126" t="n"/>
      <c r="E84" s="127" t="n"/>
      <c r="F84" s="128" t="n"/>
      <c r="G84" s="129">
        <f>IFERROR(INDEX($F$1:$F$1001,ROW())/INDEX($D$1:$D$1001,ROW()),0)</f>
        <v/>
      </c>
      <c r="H84" s="130" t="n"/>
      <c r="I84" s="1" t="n"/>
      <c r="J84" s="1" t="n"/>
      <c r="K84" s="1" t="n"/>
      <c r="L84" s="1" t="n"/>
      <c r="M84" s="1" t="n"/>
      <c r="N84" s="1" t="n"/>
      <c r="O84" s="1" t="n"/>
      <c r="P84" s="1" t="n"/>
      <c r="Q84" s="1" t="n"/>
      <c r="R84" s="1" t="n"/>
      <c r="S84" s="1" t="n"/>
      <c r="T84" s="1" t="n"/>
      <c r="U84" s="1" t="n"/>
      <c r="V84" s="1" t="n"/>
      <c r="W84" s="1" t="n"/>
      <c r="X84" s="1" t="n"/>
      <c r="Y84" s="1" t="n"/>
      <c r="Z84" s="1" t="n"/>
      <c r="AA84" s="1" t="n"/>
      <c r="AB84" s="1" t="n"/>
    </row>
    <row r="85">
      <c r="A85" s="118" t="n"/>
      <c r="B85" s="124" t="inlineStr">
        <is>
          <t>2.16</t>
        </is>
      </c>
      <c r="C85" s="125" t="n"/>
      <c r="D85" s="126" t="n"/>
      <c r="E85" s="127" t="n"/>
      <c r="F85" s="128" t="n"/>
      <c r="G85" s="129">
        <f>IFERROR(INDEX($F$1:$F$1001,ROW())/INDEX($D$1:$D$1001,ROW()),0)</f>
        <v/>
      </c>
      <c r="H85" s="130" t="n"/>
      <c r="I85" s="1" t="n"/>
      <c r="J85" s="1" t="n"/>
      <c r="K85" s="1" t="n"/>
      <c r="L85" s="1" t="n"/>
      <c r="M85" s="1" t="n"/>
      <c r="N85" s="1" t="n"/>
      <c r="O85" s="1" t="n"/>
      <c r="P85" s="1" t="n"/>
      <c r="Q85" s="1" t="n"/>
      <c r="R85" s="1" t="n"/>
      <c r="S85" s="1" t="n"/>
      <c r="T85" s="1" t="n"/>
      <c r="U85" s="1" t="n"/>
      <c r="V85" s="1" t="n"/>
      <c r="W85" s="1" t="n"/>
      <c r="X85" s="1" t="n"/>
      <c r="Y85" s="1" t="n"/>
      <c r="Z85" s="1" t="n"/>
      <c r="AA85" s="1" t="n"/>
      <c r="AB85" s="1" t="n"/>
    </row>
    <row r="86">
      <c r="A86" s="118" t="n"/>
      <c r="B86" s="124" t="inlineStr">
        <is>
          <t>2.17</t>
        </is>
      </c>
      <c r="C86" s="125" t="n"/>
      <c r="D86" s="126" t="n"/>
      <c r="E86" s="127" t="n"/>
      <c r="F86" s="128" t="n"/>
      <c r="G86" s="129">
        <f>IFERROR(INDEX($F$1:$F$1001,ROW())/INDEX($D$1:$D$1001,ROW()),0)</f>
        <v/>
      </c>
      <c r="H86" s="130" t="n"/>
      <c r="I86" s="1" t="n"/>
      <c r="J86" s="1" t="n"/>
      <c r="K86" s="1" t="n"/>
      <c r="L86" s="1" t="n"/>
      <c r="M86" s="1" t="n"/>
      <c r="N86" s="1" t="n"/>
      <c r="O86" s="1" t="n"/>
      <c r="P86" s="1" t="n"/>
      <c r="Q86" s="1" t="n"/>
      <c r="R86" s="1" t="n"/>
      <c r="S86" s="1" t="n"/>
      <c r="T86" s="1" t="n"/>
      <c r="U86" s="1" t="n"/>
      <c r="V86" s="1" t="n"/>
      <c r="W86" s="1" t="n"/>
      <c r="X86" s="1" t="n"/>
      <c r="Y86" s="1" t="n"/>
      <c r="Z86" s="1" t="n"/>
      <c r="AA86" s="1" t="n"/>
      <c r="AB86" s="1" t="n"/>
    </row>
    <row r="87">
      <c r="A87" s="118" t="n"/>
      <c r="B87" s="124" t="inlineStr">
        <is>
          <t>2.18</t>
        </is>
      </c>
      <c r="C87" s="125" t="n"/>
      <c r="D87" s="126" t="n"/>
      <c r="E87" s="127" t="n"/>
      <c r="F87" s="128" t="n"/>
      <c r="G87" s="129">
        <f>IFERROR(INDEX($F$1:$F$1001,ROW())/INDEX($D$1:$D$1001,ROW()),0)</f>
        <v/>
      </c>
      <c r="H87" s="130" t="n"/>
      <c r="I87" s="1" t="n"/>
      <c r="J87" s="1" t="n"/>
      <c r="K87" s="1" t="n"/>
      <c r="L87" s="1" t="n"/>
      <c r="M87" s="1" t="n"/>
      <c r="N87" s="1" t="n"/>
      <c r="O87" s="1" t="n"/>
      <c r="P87" s="1" t="n"/>
      <c r="Q87" s="1" t="n"/>
      <c r="R87" s="1" t="n"/>
      <c r="S87" s="1" t="n"/>
      <c r="T87" s="1" t="n"/>
      <c r="U87" s="1" t="n"/>
      <c r="V87" s="1" t="n"/>
      <c r="W87" s="1" t="n"/>
      <c r="X87" s="1" t="n"/>
      <c r="Y87" s="1" t="n"/>
      <c r="Z87" s="1" t="n"/>
      <c r="AA87" s="1" t="n"/>
      <c r="AB87" s="1" t="n"/>
    </row>
    <row r="88">
      <c r="A88" s="118" t="n"/>
      <c r="B88" s="124" t="inlineStr">
        <is>
          <t>2.19</t>
        </is>
      </c>
      <c r="C88" s="125" t="n"/>
      <c r="D88" s="126" t="n"/>
      <c r="E88" s="127" t="n"/>
      <c r="F88" s="128" t="n"/>
      <c r="G88" s="129">
        <f>IFERROR(INDEX($F$1:$F$1001,ROW())/INDEX($D$1:$D$1001,ROW()),0)</f>
        <v/>
      </c>
      <c r="H88" s="130" t="n"/>
      <c r="I88" s="1" t="n"/>
      <c r="J88" s="1" t="n"/>
      <c r="K88" s="1" t="n"/>
      <c r="L88" s="1" t="n"/>
      <c r="M88" s="1" t="n"/>
      <c r="N88" s="1" t="n"/>
      <c r="O88" s="1" t="n"/>
      <c r="P88" s="1" t="n"/>
      <c r="Q88" s="1" t="n"/>
      <c r="R88" s="1" t="n"/>
      <c r="S88" s="1" t="n"/>
      <c r="T88" s="1" t="n"/>
      <c r="U88" s="1" t="n"/>
      <c r="V88" s="1" t="n"/>
      <c r="W88" s="1" t="n"/>
      <c r="X88" s="1" t="n"/>
      <c r="Y88" s="1" t="n"/>
      <c r="Z88" s="1" t="n"/>
      <c r="AA88" s="1" t="n"/>
      <c r="AB88" s="1" t="n"/>
    </row>
    <row r="89">
      <c r="A89" s="118" t="n"/>
      <c r="B89" s="124" t="inlineStr">
        <is>
          <t>2.20</t>
        </is>
      </c>
      <c r="C89" s="125" t="n"/>
      <c r="D89" s="126" t="n"/>
      <c r="E89" s="127" t="n"/>
      <c r="F89" s="128" t="n"/>
      <c r="G89" s="129">
        <f>IFERROR(INDEX($F$1:$F$1001,ROW())/INDEX($D$1:$D$1001,ROW()),0)</f>
        <v/>
      </c>
      <c r="H89" s="130" t="n"/>
      <c r="I89" s="1" t="n"/>
      <c r="J89" s="1" t="n"/>
      <c r="K89" s="1" t="n"/>
      <c r="L89" s="1" t="n"/>
      <c r="M89" s="1" t="n"/>
      <c r="N89" s="1" t="n"/>
      <c r="O89" s="1" t="n"/>
      <c r="P89" s="1" t="n"/>
      <c r="Q89" s="1" t="n"/>
      <c r="R89" s="1" t="n"/>
      <c r="S89" s="1" t="n"/>
      <c r="T89" s="1" t="n"/>
      <c r="U89" s="1" t="n"/>
      <c r="V89" s="1" t="n"/>
      <c r="W89" s="1" t="n"/>
      <c r="X89" s="1" t="n"/>
      <c r="Y89" s="1" t="n"/>
      <c r="Z89" s="1" t="n"/>
      <c r="AA89" s="1" t="n"/>
      <c r="AB89" s="1" t="n"/>
    </row>
    <row r="90">
      <c r="A90" s="118" t="n"/>
      <c r="B90" s="124" t="inlineStr">
        <is>
          <t>2.21</t>
        </is>
      </c>
      <c r="C90" s="125" t="n"/>
      <c r="D90" s="126" t="n"/>
      <c r="E90" s="127" t="n"/>
      <c r="F90" s="128" t="n"/>
      <c r="G90" s="129">
        <f>IFERROR(INDEX($F$1:$F$1001,ROW())/INDEX($D$1:$D$1001,ROW()),0)</f>
        <v/>
      </c>
      <c r="H90" s="130" t="n"/>
      <c r="I90" s="1" t="n"/>
      <c r="J90" s="1" t="n"/>
      <c r="K90" s="1" t="n"/>
      <c r="L90" s="1" t="n"/>
      <c r="M90" s="1" t="n"/>
      <c r="N90" s="1" t="n"/>
      <c r="O90" s="1" t="n"/>
      <c r="P90" s="1" t="n"/>
      <c r="Q90" s="1" t="n"/>
      <c r="R90" s="1" t="n"/>
      <c r="S90" s="1" t="n"/>
      <c r="T90" s="1" t="n"/>
      <c r="U90" s="1" t="n"/>
      <c r="V90" s="1" t="n"/>
      <c r="W90" s="1" t="n"/>
      <c r="X90" s="1" t="n"/>
      <c r="Y90" s="1" t="n"/>
      <c r="Z90" s="1" t="n"/>
      <c r="AA90" s="1" t="n"/>
      <c r="AB90" s="1" t="n"/>
    </row>
    <row r="91">
      <c r="A91" s="118" t="n"/>
      <c r="B91" s="124" t="inlineStr">
        <is>
          <t>2.22</t>
        </is>
      </c>
      <c r="C91" s="125" t="n"/>
      <c r="D91" s="126" t="n"/>
      <c r="E91" s="127" t="n"/>
      <c r="F91" s="128" t="n"/>
      <c r="G91" s="129">
        <f>IFERROR(INDEX($F$1:$F$1001,ROW())/INDEX($D$1:$D$1001,ROW()),0)</f>
        <v/>
      </c>
      <c r="H91" s="130" t="n"/>
      <c r="I91" s="1" t="n"/>
      <c r="J91" s="1" t="n"/>
      <c r="K91" s="1" t="n"/>
      <c r="L91" s="1" t="n"/>
      <c r="M91" s="1" t="n"/>
      <c r="N91" s="1" t="n"/>
      <c r="O91" s="1" t="n"/>
      <c r="P91" s="1" t="n"/>
      <c r="Q91" s="1" t="n"/>
      <c r="R91" s="1" t="n"/>
      <c r="S91" s="1" t="n"/>
      <c r="T91" s="1" t="n"/>
      <c r="U91" s="1" t="n"/>
      <c r="V91" s="1" t="n"/>
      <c r="W91" s="1" t="n"/>
      <c r="X91" s="1" t="n"/>
      <c r="Y91" s="1" t="n"/>
      <c r="Z91" s="1" t="n"/>
      <c r="AA91" s="1" t="n"/>
      <c r="AB91" s="1" t="n"/>
    </row>
    <row r="92">
      <c r="A92" s="118" t="n"/>
      <c r="B92" s="124" t="inlineStr">
        <is>
          <t>2.23</t>
        </is>
      </c>
      <c r="C92" s="125" t="n"/>
      <c r="D92" s="126" t="n"/>
      <c r="E92" s="127" t="n"/>
      <c r="F92" s="128" t="n"/>
      <c r="G92" s="129">
        <f>IFERROR(INDEX($F$1:$F$1001,ROW())/INDEX($D$1:$D$1001,ROW()),0)</f>
        <v/>
      </c>
      <c r="H92" s="130" t="n"/>
      <c r="I92" s="1" t="n"/>
      <c r="J92" s="1" t="n"/>
      <c r="K92" s="1" t="n"/>
      <c r="L92" s="1" t="n"/>
      <c r="M92" s="1" t="n"/>
      <c r="N92" s="1" t="n"/>
      <c r="O92" s="1" t="n"/>
      <c r="P92" s="1" t="n"/>
      <c r="Q92" s="1" t="n"/>
      <c r="R92" s="1" t="n"/>
      <c r="S92" s="1" t="n"/>
      <c r="T92" s="1" t="n"/>
      <c r="U92" s="1" t="n"/>
      <c r="V92" s="1" t="n"/>
      <c r="W92" s="1" t="n"/>
      <c r="X92" s="1" t="n"/>
      <c r="Y92" s="1" t="n"/>
      <c r="Z92" s="1" t="n"/>
      <c r="AA92" s="1" t="n"/>
      <c r="AB92" s="1" t="n"/>
    </row>
    <row r="93">
      <c r="A93" s="118" t="n"/>
      <c r="B93" s="124" t="inlineStr">
        <is>
          <t>2.24</t>
        </is>
      </c>
      <c r="C93" s="125" t="n"/>
      <c r="D93" s="126" t="n"/>
      <c r="E93" s="127" t="n"/>
      <c r="F93" s="128" t="n"/>
      <c r="G93" s="129">
        <f>IFERROR(INDEX($F$1:$F$1001,ROW())/INDEX($D$1:$D$1001,ROW()),0)</f>
        <v/>
      </c>
      <c r="H93" s="130" t="n"/>
      <c r="I93" s="1" t="n"/>
      <c r="J93" s="1" t="n"/>
      <c r="K93" s="1" t="n"/>
      <c r="L93" s="1" t="n"/>
      <c r="M93" s="1" t="n"/>
      <c r="N93" s="1" t="n"/>
      <c r="O93" s="1" t="n"/>
      <c r="P93" s="1" t="n"/>
      <c r="Q93" s="1" t="n"/>
      <c r="R93" s="1" t="n"/>
      <c r="S93" s="1" t="n"/>
      <c r="T93" s="1" t="n"/>
      <c r="U93" s="1" t="n"/>
      <c r="V93" s="1" t="n"/>
      <c r="W93" s="1" t="n"/>
      <c r="X93" s="1" t="n"/>
      <c r="Y93" s="1" t="n"/>
      <c r="Z93" s="1" t="n"/>
      <c r="AA93" s="1" t="n"/>
      <c r="AB93" s="1" t="n"/>
    </row>
    <row r="94">
      <c r="A94" s="118" t="n"/>
      <c r="B94" s="124" t="inlineStr">
        <is>
          <t>2.25</t>
        </is>
      </c>
      <c r="C94" s="125" t="n"/>
      <c r="D94" s="126" t="n"/>
      <c r="E94" s="127" t="n"/>
      <c r="F94" s="128" t="n"/>
      <c r="G94" s="129">
        <f>IFERROR(INDEX($F$1:$F$1001,ROW())/INDEX($D$1:$D$1001,ROW()),0)</f>
        <v/>
      </c>
      <c r="H94" s="130" t="n"/>
      <c r="I94" s="1" t="n"/>
      <c r="J94" s="1" t="n"/>
      <c r="K94" s="1" t="n"/>
      <c r="L94" s="1" t="n"/>
      <c r="M94" s="1" t="n"/>
      <c r="N94" s="1" t="n"/>
      <c r="O94" s="1" t="n"/>
      <c r="P94" s="1" t="n"/>
      <c r="Q94" s="1" t="n"/>
      <c r="R94" s="1" t="n"/>
      <c r="S94" s="1" t="n"/>
      <c r="T94" s="1" t="n"/>
      <c r="U94" s="1" t="n"/>
      <c r="V94" s="1" t="n"/>
      <c r="W94" s="1" t="n"/>
      <c r="X94" s="1" t="n"/>
      <c r="Y94" s="1" t="n"/>
      <c r="Z94" s="1" t="n"/>
      <c r="AA94" s="1" t="n"/>
      <c r="AB94" s="1" t="n"/>
    </row>
    <row r="95">
      <c r="A95" s="118" t="n"/>
      <c r="B95" s="124" t="inlineStr">
        <is>
          <t>2.26</t>
        </is>
      </c>
      <c r="C95" s="125" t="n"/>
      <c r="D95" s="126" t="n"/>
      <c r="E95" s="127" t="n"/>
      <c r="F95" s="128" t="n"/>
      <c r="G95" s="129">
        <f>IFERROR(INDEX($F$1:$F$1001,ROW())/INDEX($D$1:$D$1001,ROW()),0)</f>
        <v/>
      </c>
      <c r="H95" s="130" t="n"/>
      <c r="I95" s="1" t="n"/>
      <c r="J95" s="1" t="n"/>
      <c r="K95" s="1" t="n"/>
      <c r="L95" s="1" t="n"/>
      <c r="M95" s="1" t="n"/>
      <c r="N95" s="1" t="n"/>
      <c r="O95" s="1" t="n"/>
      <c r="P95" s="1" t="n"/>
      <c r="Q95" s="1" t="n"/>
      <c r="R95" s="1" t="n"/>
      <c r="S95" s="1" t="n"/>
      <c r="T95" s="1" t="n"/>
      <c r="U95" s="1" t="n"/>
      <c r="V95" s="1" t="n"/>
      <c r="W95" s="1" t="n"/>
      <c r="X95" s="1" t="n"/>
      <c r="Y95" s="1" t="n"/>
      <c r="Z95" s="1" t="n"/>
      <c r="AA95" s="1" t="n"/>
      <c r="AB95" s="1" t="n"/>
    </row>
    <row r="96">
      <c r="A96" s="118" t="n"/>
      <c r="B96" s="124" t="inlineStr">
        <is>
          <t>2.27</t>
        </is>
      </c>
      <c r="C96" s="125" t="n"/>
      <c r="D96" s="126" t="n"/>
      <c r="E96" s="127" t="n"/>
      <c r="F96" s="128" t="n"/>
      <c r="G96" s="129">
        <f>IFERROR(INDEX($F$1:$F$1001,ROW())/INDEX($D$1:$D$1001,ROW()),0)</f>
        <v/>
      </c>
      <c r="H96" s="130" t="n"/>
      <c r="I96" s="1" t="n"/>
      <c r="J96" s="1" t="n"/>
      <c r="K96" s="1" t="n"/>
      <c r="L96" s="1" t="n"/>
      <c r="M96" s="1" t="n"/>
      <c r="N96" s="1" t="n"/>
      <c r="O96" s="1" t="n"/>
      <c r="P96" s="1" t="n"/>
      <c r="Q96" s="1" t="n"/>
      <c r="R96" s="1" t="n"/>
      <c r="S96" s="1" t="n"/>
      <c r="T96" s="1" t="n"/>
      <c r="U96" s="1" t="n"/>
      <c r="V96" s="1" t="n"/>
      <c r="W96" s="1" t="n"/>
      <c r="X96" s="1" t="n"/>
      <c r="Y96" s="1" t="n"/>
      <c r="Z96" s="1" t="n"/>
      <c r="AA96" s="1" t="n"/>
      <c r="AB96" s="1" t="n"/>
    </row>
    <row r="97">
      <c r="A97" s="118" t="n"/>
      <c r="B97" s="124" t="inlineStr">
        <is>
          <t>2.28</t>
        </is>
      </c>
      <c r="C97" s="125" t="n"/>
      <c r="D97" s="126" t="n"/>
      <c r="E97" s="127" t="n"/>
      <c r="F97" s="128" t="n"/>
      <c r="G97" s="129">
        <f>IFERROR(INDEX($F$1:$F$1001,ROW())/INDEX($D$1:$D$1001,ROW()),0)</f>
        <v/>
      </c>
      <c r="H97" s="130" t="n"/>
      <c r="I97" s="1" t="n"/>
      <c r="J97" s="1" t="n"/>
      <c r="K97" s="1" t="n"/>
      <c r="L97" s="1" t="n"/>
      <c r="M97" s="1" t="n"/>
      <c r="N97" s="1" t="n"/>
      <c r="O97" s="1" t="n"/>
      <c r="P97" s="1" t="n"/>
      <c r="Q97" s="1" t="n"/>
      <c r="R97" s="1" t="n"/>
      <c r="S97" s="1" t="n"/>
      <c r="T97" s="1" t="n"/>
      <c r="U97" s="1" t="n"/>
      <c r="V97" s="1" t="n"/>
      <c r="W97" s="1" t="n"/>
      <c r="X97" s="1" t="n"/>
      <c r="Y97" s="1" t="n"/>
      <c r="Z97" s="1" t="n"/>
      <c r="AA97" s="1" t="n"/>
      <c r="AB97" s="1" t="n"/>
    </row>
    <row r="98">
      <c r="A98" s="118" t="n"/>
      <c r="B98" s="124" t="inlineStr">
        <is>
          <t>2.29</t>
        </is>
      </c>
      <c r="C98" s="125" t="n"/>
      <c r="D98" s="126" t="n"/>
      <c r="E98" s="127" t="n"/>
      <c r="F98" s="128" t="n"/>
      <c r="G98" s="129">
        <f>IFERROR(INDEX($F$1:$F$1001,ROW())/INDEX($D$1:$D$1001,ROW()),0)</f>
        <v/>
      </c>
      <c r="H98" s="130" t="n"/>
      <c r="I98" s="1" t="n"/>
      <c r="J98" s="1" t="n"/>
      <c r="K98" s="1" t="n"/>
      <c r="L98" s="1" t="n"/>
      <c r="M98" s="1" t="n"/>
      <c r="N98" s="1" t="n"/>
      <c r="O98" s="1" t="n"/>
      <c r="P98" s="1" t="n"/>
      <c r="Q98" s="1" t="n"/>
      <c r="R98" s="1" t="n"/>
      <c r="S98" s="1" t="n"/>
      <c r="T98" s="1" t="n"/>
      <c r="U98" s="1" t="n"/>
      <c r="V98" s="1" t="n"/>
      <c r="W98" s="1" t="n"/>
      <c r="X98" s="1" t="n"/>
      <c r="Y98" s="1" t="n"/>
      <c r="Z98" s="1" t="n"/>
      <c r="AA98" s="1" t="n"/>
      <c r="AB98" s="1" t="n"/>
    </row>
    <row r="99">
      <c r="A99" s="118" t="n"/>
      <c r="B99" s="124" t="inlineStr">
        <is>
          <t>2.30</t>
        </is>
      </c>
      <c r="C99" s="125" t="n"/>
      <c r="D99" s="126" t="n"/>
      <c r="E99" s="127" t="n"/>
      <c r="F99" s="128" t="n"/>
      <c r="G99" s="129">
        <f>IFERROR(INDEX($F$1:$F$1001,ROW())/INDEX($D$1:$D$1001,ROW()),0)</f>
        <v/>
      </c>
      <c r="H99" s="130" t="n"/>
      <c r="I99" s="1" t="n"/>
      <c r="J99" s="1" t="n"/>
      <c r="K99" s="1" t="n"/>
      <c r="L99" s="1" t="n"/>
      <c r="M99" s="1" t="n"/>
      <c r="N99" s="1" t="n"/>
      <c r="O99" s="1" t="n"/>
      <c r="P99" s="1" t="n"/>
      <c r="Q99" s="1" t="n"/>
      <c r="R99" s="1" t="n"/>
      <c r="S99" s="1" t="n"/>
      <c r="T99" s="1" t="n"/>
      <c r="U99" s="1" t="n"/>
      <c r="V99" s="1" t="n"/>
      <c r="W99" s="1" t="n"/>
      <c r="X99" s="1" t="n"/>
      <c r="Y99" s="1" t="n"/>
      <c r="Z99" s="1" t="n"/>
      <c r="AA99" s="1" t="n"/>
      <c r="AB99" s="1" t="n"/>
    </row>
    <row r="100">
      <c r="A100" s="118" t="n"/>
      <c r="B100" s="124" t="inlineStr">
        <is>
          <t>2.31</t>
        </is>
      </c>
      <c r="C100" s="125" t="n"/>
      <c r="D100" s="126" t="n"/>
      <c r="E100" s="127" t="n"/>
      <c r="F100" s="128" t="n"/>
      <c r="G100" s="129">
        <f>IFERROR(INDEX($F$1:$F$1001,ROW())/INDEX($D$1:$D$1001,ROW()),0)</f>
        <v/>
      </c>
      <c r="H100" s="130"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row>
    <row r="101">
      <c r="A101" s="118" t="n"/>
      <c r="B101" s="124" t="inlineStr">
        <is>
          <t>2.32</t>
        </is>
      </c>
      <c r="C101" s="125" t="n"/>
      <c r="D101" s="126" t="n"/>
      <c r="E101" s="127" t="n"/>
      <c r="F101" s="128" t="n"/>
      <c r="G101" s="129">
        <f>IFERROR(INDEX($F$1:$F$1001,ROW())/INDEX($D$1:$D$1001,ROW()),0)</f>
        <v/>
      </c>
      <c r="H101" s="130"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row>
    <row r="102">
      <c r="A102" s="118" t="n"/>
      <c r="B102" s="124" t="inlineStr">
        <is>
          <t>2.33</t>
        </is>
      </c>
      <c r="C102" s="125" t="n"/>
      <c r="D102" s="126" t="n"/>
      <c r="E102" s="127" t="n"/>
      <c r="F102" s="128" t="n"/>
      <c r="G102" s="129">
        <f>IFERROR(INDEX($F$1:$F$1001,ROW())/INDEX($D$1:$D$1001,ROW()),0)</f>
        <v/>
      </c>
      <c r="H102" s="130"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row>
    <row r="103">
      <c r="A103" s="118" t="n"/>
      <c r="B103" s="124" t="inlineStr">
        <is>
          <t>2.34</t>
        </is>
      </c>
      <c r="C103" s="125" t="n"/>
      <c r="D103" s="126" t="n"/>
      <c r="E103" s="127" t="n"/>
      <c r="F103" s="128" t="n"/>
      <c r="G103" s="129">
        <f>IFERROR(INDEX($F$1:$F$1001,ROW())/INDEX($D$1:$D$1001,ROW()),0)</f>
        <v/>
      </c>
      <c r="H103" s="130"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row>
    <row r="104">
      <c r="A104" s="118" t="n"/>
      <c r="B104" s="124" t="inlineStr">
        <is>
          <t>2.35</t>
        </is>
      </c>
      <c r="C104" s="125" t="n"/>
      <c r="D104" s="126" t="n"/>
      <c r="E104" s="127" t="n"/>
      <c r="F104" s="128" t="n"/>
      <c r="G104" s="129">
        <f>IFERROR(INDEX($F$1:$F$1001,ROW())/INDEX($D$1:$D$1001,ROW()),0)</f>
        <v/>
      </c>
      <c r="H104" s="130"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row>
    <row r="105">
      <c r="A105" s="118" t="n"/>
      <c r="B105" s="124" t="inlineStr">
        <is>
          <t>2.36</t>
        </is>
      </c>
      <c r="C105" s="125" t="n"/>
      <c r="D105" s="126" t="n"/>
      <c r="E105" s="127" t="n"/>
      <c r="F105" s="128" t="n"/>
      <c r="G105" s="129">
        <f>IFERROR(INDEX($F$1:$F$1001,ROW())/INDEX($D$1:$D$1001,ROW()),0)</f>
        <v/>
      </c>
      <c r="H105" s="130"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row>
    <row r="106">
      <c r="A106" s="118" t="n"/>
      <c r="B106" s="124" t="inlineStr">
        <is>
          <t>2.37</t>
        </is>
      </c>
      <c r="C106" s="125" t="n"/>
      <c r="D106" s="126" t="n"/>
      <c r="E106" s="127" t="n"/>
      <c r="F106" s="128" t="n"/>
      <c r="G106" s="129">
        <f>IFERROR(INDEX($F$1:$F$1001,ROW())/INDEX($D$1:$D$1001,ROW()),0)</f>
        <v/>
      </c>
      <c r="H106" s="130"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row>
    <row r="107">
      <c r="A107" s="118" t="n"/>
      <c r="B107" s="124" t="inlineStr">
        <is>
          <t>2.38</t>
        </is>
      </c>
      <c r="C107" s="125" t="n"/>
      <c r="D107" s="126" t="n"/>
      <c r="E107" s="127" t="n"/>
      <c r="F107" s="128" t="n"/>
      <c r="G107" s="129">
        <f>IFERROR(INDEX($F$1:$F$1001,ROW())/INDEX($D$1:$D$1001,ROW()),0)</f>
        <v/>
      </c>
      <c r="H107" s="130"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row>
    <row r="108">
      <c r="A108" s="118" t="n"/>
      <c r="B108" s="124" t="inlineStr">
        <is>
          <t>2.39</t>
        </is>
      </c>
      <c r="C108" s="125" t="n"/>
      <c r="D108" s="126" t="n"/>
      <c r="E108" s="127" t="n"/>
      <c r="F108" s="128" t="n"/>
      <c r="G108" s="129">
        <f>IFERROR(INDEX($F$1:$F$1001,ROW())/INDEX($D$1:$D$1001,ROW()),0)</f>
        <v/>
      </c>
      <c r="H108" s="130"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row>
    <row r="109">
      <c r="A109" s="118" t="n"/>
      <c r="B109" s="124" t="inlineStr">
        <is>
          <t>2.40</t>
        </is>
      </c>
      <c r="C109" s="125" t="n"/>
      <c r="D109" s="126" t="n"/>
      <c r="E109" s="127" t="n"/>
      <c r="F109" s="128" t="n"/>
      <c r="G109" s="129">
        <f>IFERROR(INDEX($F$1:$F$1001,ROW())/INDEX($D$1:$D$1001,ROW()),0)</f>
        <v/>
      </c>
      <c r="H109" s="130"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row>
    <row r="110">
      <c r="A110" s="118" t="n"/>
      <c r="B110" s="131">
        <f>IF($E$2="","",VLOOKUP($E$2,Sprachversionen!$B:$BN,32,FALSE))</f>
        <v/>
      </c>
      <c r="C110" s="132" t="n"/>
      <c r="D110" s="133">
        <f>SUMPRODUCT(ROUND(D70:D109,2))</f>
        <v/>
      </c>
      <c r="E110" s="133">
        <f>SUMPRODUCT(ROUND(E70:E109,2))</f>
        <v/>
      </c>
      <c r="F110" s="133">
        <f>SUMPRODUCT(ROUND(F70:F109,2))</f>
        <v/>
      </c>
      <c r="G110" s="134">
        <f>IFERROR(INDEX($F$1:$F$1001,ROW())/INDEX($D$1:$D$1001,ROW()),0)</f>
        <v/>
      </c>
      <c r="H110" s="135"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row>
    <row r="111">
      <c r="A111" s="118" t="n"/>
      <c r="B111" s="119" t="inlineStr">
        <is>
          <t>3.</t>
        </is>
      </c>
      <c r="C111" s="120">
        <f>IF($E$2="","",VLOOKUP($E$2,Sprachversionen!$B:$BN,33,FALSE))</f>
        <v/>
      </c>
      <c r="D111" s="121" t="n"/>
      <c r="E111" s="121" t="n"/>
      <c r="F111" s="121" t="n"/>
      <c r="G111" s="122" t="n"/>
      <c r="H111" s="123"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row>
    <row r="112">
      <c r="A112" s="118" t="n"/>
      <c r="B112" s="124" t="inlineStr">
        <is>
          <t>3.1</t>
        </is>
      </c>
      <c r="C112" s="125" t="n"/>
      <c r="D112" s="126" t="n"/>
      <c r="E112" s="127" t="n"/>
      <c r="F112" s="128" t="n"/>
      <c r="G112" s="129">
        <f>IFERROR(INDEX($F$1:$F$1001,ROW())/INDEX($D$1:$D$1001,ROW()),0)</f>
        <v/>
      </c>
      <c r="H112" s="130"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row>
    <row r="113">
      <c r="A113" s="118" t="n"/>
      <c r="B113" s="124" t="inlineStr">
        <is>
          <t>3.2</t>
        </is>
      </c>
      <c r="C113" s="125" t="n"/>
      <c r="D113" s="126" t="n"/>
      <c r="E113" s="127" t="n"/>
      <c r="F113" s="128" t="n"/>
      <c r="G113" s="129">
        <f>IFERROR(INDEX($F$1:$F$1001,ROW())/INDEX($D$1:$D$1001,ROW()),0)</f>
        <v/>
      </c>
      <c r="H113" s="130"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row>
    <row r="114">
      <c r="A114" s="118" t="n"/>
      <c r="B114" s="124" t="inlineStr">
        <is>
          <t>3.3</t>
        </is>
      </c>
      <c r="C114" s="125" t="n"/>
      <c r="D114" s="126" t="n"/>
      <c r="E114" s="127" t="n"/>
      <c r="F114" s="128" t="n"/>
      <c r="G114" s="129">
        <f>IFERROR(INDEX($F$1:$F$1001,ROW())/INDEX($D$1:$D$1001,ROW()),0)</f>
        <v/>
      </c>
      <c r="H114" s="130"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row>
    <row r="115">
      <c r="A115" s="118" t="n"/>
      <c r="B115" s="124" t="inlineStr">
        <is>
          <t>3.4</t>
        </is>
      </c>
      <c r="C115" s="125" t="n"/>
      <c r="D115" s="126" t="n"/>
      <c r="E115" s="127" t="n"/>
      <c r="F115" s="128" t="n"/>
      <c r="G115" s="129">
        <f>IFERROR(INDEX($F$1:$F$1001,ROW())/INDEX($D$1:$D$1001,ROW()),0)</f>
        <v/>
      </c>
      <c r="H115" s="130"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row>
    <row r="116">
      <c r="A116" s="118" t="n"/>
      <c r="B116" s="124" t="inlineStr">
        <is>
          <t>3.5</t>
        </is>
      </c>
      <c r="C116" s="125" t="n"/>
      <c r="D116" s="126" t="n"/>
      <c r="E116" s="127" t="n"/>
      <c r="F116" s="128" t="n"/>
      <c r="G116" s="129">
        <f>IFERROR(INDEX($F$1:$F$1001,ROW())/INDEX($D$1:$D$1001,ROW()),0)</f>
        <v/>
      </c>
      <c r="H116" s="130"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row>
    <row r="117">
      <c r="A117" s="118" t="n"/>
      <c r="B117" s="124" t="inlineStr">
        <is>
          <t>3.6</t>
        </is>
      </c>
      <c r="C117" s="125" t="n"/>
      <c r="D117" s="126" t="n"/>
      <c r="E117" s="127" t="n"/>
      <c r="F117" s="128" t="n"/>
      <c r="G117" s="129">
        <f>IFERROR(INDEX($F$1:$F$1001,ROW())/INDEX($D$1:$D$1001,ROW()),0)</f>
        <v/>
      </c>
      <c r="H117" s="130"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row>
    <row r="118">
      <c r="A118" s="118" t="n"/>
      <c r="B118" s="124" t="inlineStr">
        <is>
          <t>3.7</t>
        </is>
      </c>
      <c r="C118" s="125" t="n"/>
      <c r="D118" s="126" t="n"/>
      <c r="E118" s="127" t="n"/>
      <c r="F118" s="128" t="n"/>
      <c r="G118" s="129">
        <f>IFERROR(INDEX($F$1:$F$1001,ROW())/INDEX($D$1:$D$1001,ROW()),0)</f>
        <v/>
      </c>
      <c r="H118" s="130"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row>
    <row r="119">
      <c r="A119" s="118" t="n"/>
      <c r="B119" s="124" t="inlineStr">
        <is>
          <t>3.8</t>
        </is>
      </c>
      <c r="C119" s="125" t="n"/>
      <c r="D119" s="126" t="n"/>
      <c r="E119" s="127" t="n"/>
      <c r="F119" s="128" t="n"/>
      <c r="G119" s="129">
        <f>IFERROR(INDEX($F$1:$F$1001,ROW())/INDEX($D$1:$D$1001,ROW()),0)</f>
        <v/>
      </c>
      <c r="H119" s="130"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row>
    <row r="120">
      <c r="A120" s="118" t="n"/>
      <c r="B120" s="124" t="inlineStr">
        <is>
          <t>3.9</t>
        </is>
      </c>
      <c r="C120" s="125" t="n"/>
      <c r="D120" s="126" t="n"/>
      <c r="E120" s="127" t="n"/>
      <c r="F120" s="128" t="n"/>
      <c r="G120" s="129">
        <f>IFERROR(INDEX($F$1:$F$1001,ROW())/INDEX($D$1:$D$1001,ROW()),0)</f>
        <v/>
      </c>
      <c r="H120" s="130"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row>
    <row r="121">
      <c r="A121" s="118" t="n"/>
      <c r="B121" s="124" t="inlineStr">
        <is>
          <t>3.10</t>
        </is>
      </c>
      <c r="C121" s="125" t="n"/>
      <c r="D121" s="126" t="n"/>
      <c r="E121" s="127" t="n"/>
      <c r="F121" s="128" t="n"/>
      <c r="G121" s="129">
        <f>IFERROR(INDEX($F$1:$F$1001,ROW())/INDEX($D$1:$D$1001,ROW()),0)</f>
        <v/>
      </c>
      <c r="H121" s="130"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row>
    <row r="122">
      <c r="A122" s="118" t="n"/>
      <c r="B122" s="124" t="inlineStr">
        <is>
          <t>3.11</t>
        </is>
      </c>
      <c r="C122" s="125" t="n"/>
      <c r="D122" s="126" t="n"/>
      <c r="E122" s="127" t="n"/>
      <c r="F122" s="128" t="n"/>
      <c r="G122" s="129">
        <f>IFERROR(INDEX($F$1:$F$1001,ROW())/INDEX($D$1:$D$1001,ROW()),0)</f>
        <v/>
      </c>
      <c r="H122" s="130"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row>
    <row r="123">
      <c r="A123" s="118" t="n"/>
      <c r="B123" s="124" t="inlineStr">
        <is>
          <t>3.12</t>
        </is>
      </c>
      <c r="C123" s="125" t="n"/>
      <c r="D123" s="126" t="n"/>
      <c r="E123" s="127" t="n"/>
      <c r="F123" s="128" t="n"/>
      <c r="G123" s="129">
        <f>IFERROR(INDEX($F$1:$F$1001,ROW())/INDEX($D$1:$D$1001,ROW()),0)</f>
        <v/>
      </c>
      <c r="H123" s="130"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row>
    <row r="124">
      <c r="A124" s="118" t="n"/>
      <c r="B124" s="124" t="inlineStr">
        <is>
          <t>3.13</t>
        </is>
      </c>
      <c r="C124" s="125" t="n"/>
      <c r="D124" s="126" t="n"/>
      <c r="E124" s="127" t="n"/>
      <c r="F124" s="128" t="n"/>
      <c r="G124" s="129">
        <f>IFERROR(INDEX($F$1:$F$1001,ROW())/INDEX($D$1:$D$1001,ROW()),0)</f>
        <v/>
      </c>
      <c r="H124" s="130"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row>
    <row r="125">
      <c r="A125" s="118" t="n"/>
      <c r="B125" s="124" t="inlineStr">
        <is>
          <t>3.14</t>
        </is>
      </c>
      <c r="C125" s="125" t="n"/>
      <c r="D125" s="126" t="n"/>
      <c r="E125" s="127" t="n"/>
      <c r="F125" s="128" t="n"/>
      <c r="G125" s="129">
        <f>IFERROR(INDEX($F$1:$F$1001,ROW())/INDEX($D$1:$D$1001,ROW()),0)</f>
        <v/>
      </c>
      <c r="H125" s="130"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row>
    <row r="126">
      <c r="A126" s="118" t="n"/>
      <c r="B126" s="124" t="inlineStr">
        <is>
          <t>3.15</t>
        </is>
      </c>
      <c r="C126" s="125" t="n"/>
      <c r="D126" s="126" t="n"/>
      <c r="E126" s="127" t="n"/>
      <c r="F126" s="128" t="n"/>
      <c r="G126" s="129">
        <f>IFERROR(INDEX($F$1:$F$1001,ROW())/INDEX($D$1:$D$1001,ROW()),0)</f>
        <v/>
      </c>
      <c r="H126" s="130"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row>
    <row r="127">
      <c r="A127" s="118" t="n"/>
      <c r="B127" s="124" t="inlineStr">
        <is>
          <t>3.16</t>
        </is>
      </c>
      <c r="C127" s="125" t="n"/>
      <c r="D127" s="126" t="n"/>
      <c r="E127" s="127" t="n"/>
      <c r="F127" s="128" t="n"/>
      <c r="G127" s="129">
        <f>IFERROR(INDEX($F$1:$F$1001,ROW())/INDEX($D$1:$D$1001,ROW()),0)</f>
        <v/>
      </c>
      <c r="H127" s="130"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row>
    <row r="128">
      <c r="A128" s="118" t="n"/>
      <c r="B128" s="124" t="inlineStr">
        <is>
          <t>3.17</t>
        </is>
      </c>
      <c r="C128" s="125" t="n"/>
      <c r="D128" s="126" t="n"/>
      <c r="E128" s="127" t="n"/>
      <c r="F128" s="128" t="n"/>
      <c r="G128" s="129">
        <f>IFERROR(INDEX($F$1:$F$1001,ROW())/INDEX($D$1:$D$1001,ROW()),0)</f>
        <v/>
      </c>
      <c r="H128" s="130"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row>
    <row r="129">
      <c r="A129" s="118" t="n"/>
      <c r="B129" s="124" t="inlineStr">
        <is>
          <t>3.18</t>
        </is>
      </c>
      <c r="C129" s="125" t="n"/>
      <c r="D129" s="126" t="n"/>
      <c r="E129" s="127" t="n"/>
      <c r="F129" s="128" t="n"/>
      <c r="G129" s="129">
        <f>IFERROR(INDEX($F$1:$F$1001,ROW())/INDEX($D$1:$D$1001,ROW()),0)</f>
        <v/>
      </c>
      <c r="H129" s="130"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row>
    <row r="130">
      <c r="A130" s="118" t="n"/>
      <c r="B130" s="124" t="inlineStr">
        <is>
          <t>3.19</t>
        </is>
      </c>
      <c r="C130" s="125" t="n"/>
      <c r="D130" s="126" t="n"/>
      <c r="E130" s="127" t="n"/>
      <c r="F130" s="128" t="n"/>
      <c r="G130" s="129">
        <f>IFERROR(INDEX($F$1:$F$1001,ROW())/INDEX($D$1:$D$1001,ROW()),0)</f>
        <v/>
      </c>
      <c r="H130" s="130"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row>
    <row r="131">
      <c r="A131" s="118" t="n"/>
      <c r="B131" s="124" t="inlineStr">
        <is>
          <t>3.20</t>
        </is>
      </c>
      <c r="C131" s="125" t="n"/>
      <c r="D131" s="126" t="n"/>
      <c r="E131" s="127" t="n"/>
      <c r="F131" s="128" t="n"/>
      <c r="G131" s="129">
        <f>IFERROR(INDEX($F$1:$F$1001,ROW())/INDEX($D$1:$D$1001,ROW()),0)</f>
        <v/>
      </c>
      <c r="H131" s="130"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row>
    <row r="132">
      <c r="A132" s="118" t="n"/>
      <c r="B132" s="124" t="inlineStr">
        <is>
          <t>3.21</t>
        </is>
      </c>
      <c r="C132" s="125" t="n"/>
      <c r="D132" s="126" t="n"/>
      <c r="E132" s="127" t="n"/>
      <c r="F132" s="128" t="n"/>
      <c r="G132" s="129">
        <f>IFERROR(INDEX($F$1:$F$1001,ROW())/INDEX($D$1:$D$1001,ROW()),0)</f>
        <v/>
      </c>
      <c r="H132" s="130"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row>
    <row r="133">
      <c r="A133" s="118" t="n"/>
      <c r="B133" s="124" t="inlineStr">
        <is>
          <t>3.22</t>
        </is>
      </c>
      <c r="C133" s="125" t="n"/>
      <c r="D133" s="126" t="n"/>
      <c r="E133" s="127" t="n"/>
      <c r="F133" s="128" t="n"/>
      <c r="G133" s="129">
        <f>IFERROR(INDEX($F$1:$F$1001,ROW())/INDEX($D$1:$D$1001,ROW()),0)</f>
        <v/>
      </c>
      <c r="H133" s="130"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row>
    <row r="134">
      <c r="A134" s="118" t="n"/>
      <c r="B134" s="124" t="inlineStr">
        <is>
          <t>3.23</t>
        </is>
      </c>
      <c r="C134" s="125" t="n"/>
      <c r="D134" s="126" t="n"/>
      <c r="E134" s="127" t="n"/>
      <c r="F134" s="128" t="n"/>
      <c r="G134" s="129">
        <f>IFERROR(INDEX($F$1:$F$1001,ROW())/INDEX($D$1:$D$1001,ROW()),0)</f>
        <v/>
      </c>
      <c r="H134" s="130"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row>
    <row r="135">
      <c r="A135" s="118" t="n"/>
      <c r="B135" s="124" t="inlineStr">
        <is>
          <t>3.24</t>
        </is>
      </c>
      <c r="C135" s="125" t="n"/>
      <c r="D135" s="126" t="n"/>
      <c r="E135" s="127" t="n"/>
      <c r="F135" s="128" t="n"/>
      <c r="G135" s="129">
        <f>IFERROR(INDEX($F$1:$F$1001,ROW())/INDEX($D$1:$D$1001,ROW()),0)</f>
        <v/>
      </c>
      <c r="H135" s="130"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row>
    <row r="136">
      <c r="A136" s="118" t="n"/>
      <c r="B136" s="124" t="inlineStr">
        <is>
          <t>3.25</t>
        </is>
      </c>
      <c r="C136" s="125" t="n"/>
      <c r="D136" s="126" t="n"/>
      <c r="E136" s="127" t="n"/>
      <c r="F136" s="128" t="n"/>
      <c r="G136" s="129">
        <f>IFERROR(INDEX($F$1:$F$1001,ROW())/INDEX($D$1:$D$1001,ROW()),0)</f>
        <v/>
      </c>
      <c r="H136" s="130"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row>
    <row r="137">
      <c r="A137" s="118" t="n"/>
      <c r="B137" s="124" t="inlineStr">
        <is>
          <t>3.26</t>
        </is>
      </c>
      <c r="C137" s="125" t="n"/>
      <c r="D137" s="126" t="n"/>
      <c r="E137" s="127" t="n"/>
      <c r="F137" s="128" t="n"/>
      <c r="G137" s="129">
        <f>IFERROR(INDEX($F$1:$F$1001,ROW())/INDEX($D$1:$D$1001,ROW()),0)</f>
        <v/>
      </c>
      <c r="H137" s="130"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row>
    <row r="138">
      <c r="A138" s="118" t="n"/>
      <c r="B138" s="124" t="inlineStr">
        <is>
          <t>3.27</t>
        </is>
      </c>
      <c r="C138" s="125" t="n"/>
      <c r="D138" s="126" t="n"/>
      <c r="E138" s="127" t="n"/>
      <c r="F138" s="128" t="n"/>
      <c r="G138" s="129">
        <f>IFERROR(INDEX($F$1:$F$1001,ROW())/INDEX($D$1:$D$1001,ROW()),0)</f>
        <v/>
      </c>
      <c r="H138" s="130"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row>
    <row r="139">
      <c r="A139" s="118" t="n"/>
      <c r="B139" s="124" t="inlineStr">
        <is>
          <t>3.28</t>
        </is>
      </c>
      <c r="C139" s="125" t="n"/>
      <c r="D139" s="126" t="n"/>
      <c r="E139" s="127" t="n"/>
      <c r="F139" s="128" t="n"/>
      <c r="G139" s="129">
        <f>IFERROR(INDEX($F$1:$F$1001,ROW())/INDEX($D$1:$D$1001,ROW()),0)</f>
        <v/>
      </c>
      <c r="H139" s="130"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row>
    <row r="140">
      <c r="A140" s="118" t="n"/>
      <c r="B140" s="124" t="inlineStr">
        <is>
          <t>3.29</t>
        </is>
      </c>
      <c r="C140" s="125" t="n"/>
      <c r="D140" s="126" t="n"/>
      <c r="E140" s="127" t="n"/>
      <c r="F140" s="128" t="n"/>
      <c r="G140" s="129">
        <f>IFERROR(INDEX($F$1:$F$1001,ROW())/INDEX($D$1:$D$1001,ROW()),0)</f>
        <v/>
      </c>
      <c r="H140" s="130"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row>
    <row r="141">
      <c r="A141" s="118" t="n"/>
      <c r="B141" s="124" t="inlineStr">
        <is>
          <t>3.30</t>
        </is>
      </c>
      <c r="C141" s="125" t="n"/>
      <c r="D141" s="126" t="n"/>
      <c r="E141" s="127" t="n"/>
      <c r="F141" s="128" t="n"/>
      <c r="G141" s="129">
        <f>IFERROR(INDEX($F$1:$F$1001,ROW())/INDEX($D$1:$D$1001,ROW()),0)</f>
        <v/>
      </c>
      <c r="H141" s="130"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row>
    <row r="142">
      <c r="A142" s="118" t="n"/>
      <c r="B142" s="124" t="inlineStr">
        <is>
          <t>3.31</t>
        </is>
      </c>
      <c r="C142" s="125" t="n"/>
      <c r="D142" s="126" t="n"/>
      <c r="E142" s="127" t="n"/>
      <c r="F142" s="128" t="n"/>
      <c r="G142" s="129">
        <f>IFERROR(INDEX($F$1:$F$1001,ROW())/INDEX($D$1:$D$1001,ROW()),0)</f>
        <v/>
      </c>
      <c r="H142" s="130"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row>
    <row r="143">
      <c r="A143" s="118" t="n"/>
      <c r="B143" s="124" t="inlineStr">
        <is>
          <t>3.32</t>
        </is>
      </c>
      <c r="C143" s="125" t="n"/>
      <c r="D143" s="126" t="n"/>
      <c r="E143" s="127" t="n"/>
      <c r="F143" s="128" t="n"/>
      <c r="G143" s="129">
        <f>IFERROR(INDEX($F$1:$F$1001,ROW())/INDEX($D$1:$D$1001,ROW()),0)</f>
        <v/>
      </c>
      <c r="H143" s="130"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row>
    <row r="144">
      <c r="A144" s="118" t="n"/>
      <c r="B144" s="124" t="inlineStr">
        <is>
          <t>3.33</t>
        </is>
      </c>
      <c r="C144" s="125" t="n"/>
      <c r="D144" s="126" t="n"/>
      <c r="E144" s="127" t="n"/>
      <c r="F144" s="128" t="n"/>
      <c r="G144" s="129">
        <f>IFERROR(INDEX($F$1:$F$1001,ROW())/INDEX($D$1:$D$1001,ROW()),0)</f>
        <v/>
      </c>
      <c r="H144" s="130"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row>
    <row r="145">
      <c r="A145" s="118" t="n"/>
      <c r="B145" s="124" t="inlineStr">
        <is>
          <t>3.34</t>
        </is>
      </c>
      <c r="C145" s="125" t="n"/>
      <c r="D145" s="126" t="n"/>
      <c r="E145" s="127" t="n"/>
      <c r="F145" s="128" t="n"/>
      <c r="G145" s="129">
        <f>IFERROR(INDEX($F$1:$F$1001,ROW())/INDEX($D$1:$D$1001,ROW()),0)</f>
        <v/>
      </c>
      <c r="H145" s="130"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row>
    <row r="146">
      <c r="A146" s="118" t="n"/>
      <c r="B146" s="124" t="inlineStr">
        <is>
          <t>3.35</t>
        </is>
      </c>
      <c r="C146" s="125" t="n"/>
      <c r="D146" s="126" t="n"/>
      <c r="E146" s="127" t="n"/>
      <c r="F146" s="128" t="n"/>
      <c r="G146" s="129">
        <f>IFERROR(INDEX($F$1:$F$1001,ROW())/INDEX($D$1:$D$1001,ROW()),0)</f>
        <v/>
      </c>
      <c r="H146" s="130"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row>
    <row r="147">
      <c r="A147" s="118" t="n"/>
      <c r="B147" s="124" t="inlineStr">
        <is>
          <t>3.36</t>
        </is>
      </c>
      <c r="C147" s="125" t="n"/>
      <c r="D147" s="126" t="n"/>
      <c r="E147" s="127" t="n"/>
      <c r="F147" s="128" t="n"/>
      <c r="G147" s="129">
        <f>IFERROR(INDEX($F$1:$F$1001,ROW())/INDEX($D$1:$D$1001,ROW()),0)</f>
        <v/>
      </c>
      <c r="H147" s="130"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row>
    <row r="148">
      <c r="A148" s="118" t="n"/>
      <c r="B148" s="124" t="inlineStr">
        <is>
          <t>3.37</t>
        </is>
      </c>
      <c r="C148" s="125" t="n"/>
      <c r="D148" s="126" t="n"/>
      <c r="E148" s="127" t="n"/>
      <c r="F148" s="128" t="n"/>
      <c r="G148" s="129">
        <f>IFERROR(INDEX($F$1:$F$1001,ROW())/INDEX($D$1:$D$1001,ROW()),0)</f>
        <v/>
      </c>
      <c r="H148" s="130"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row>
    <row r="149">
      <c r="A149" s="118" t="n"/>
      <c r="B149" s="124" t="inlineStr">
        <is>
          <t>3.38</t>
        </is>
      </c>
      <c r="C149" s="125" t="n"/>
      <c r="D149" s="126" t="n"/>
      <c r="E149" s="127" t="n"/>
      <c r="F149" s="128" t="n"/>
      <c r="G149" s="129">
        <f>IFERROR(INDEX($F$1:$F$1001,ROW())/INDEX($D$1:$D$1001,ROW()),0)</f>
        <v/>
      </c>
      <c r="H149" s="130"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row>
    <row r="150">
      <c r="A150" s="118" t="n"/>
      <c r="B150" s="124" t="inlineStr">
        <is>
          <t>3.39</t>
        </is>
      </c>
      <c r="C150" s="125" t="n"/>
      <c r="D150" s="126" t="n"/>
      <c r="E150" s="127" t="n"/>
      <c r="F150" s="128" t="n"/>
      <c r="G150" s="129">
        <f>IFERROR(INDEX($F$1:$F$1001,ROW())/INDEX($D$1:$D$1001,ROW()),0)</f>
        <v/>
      </c>
      <c r="H150" s="130"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row>
    <row r="151">
      <c r="A151" s="118" t="n"/>
      <c r="B151" s="124" t="inlineStr">
        <is>
          <t>3.40</t>
        </is>
      </c>
      <c r="C151" s="125" t="n"/>
      <c r="D151" s="126" t="n"/>
      <c r="E151" s="127" t="n"/>
      <c r="F151" s="128" t="n"/>
      <c r="G151" s="129">
        <f>IFERROR(INDEX($F$1:$F$1001,ROW())/INDEX($D$1:$D$1001,ROW()),0)</f>
        <v/>
      </c>
      <c r="H151" s="130"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row>
    <row r="152">
      <c r="A152" s="118" t="n"/>
      <c r="B152" s="131">
        <f>IF($E$2="","",VLOOKUP($E$2,Sprachversionen!$B:$BN,34,FALSE))</f>
        <v/>
      </c>
      <c r="C152" s="132" t="n"/>
      <c r="D152" s="133">
        <f>SUMPRODUCT(ROUND(D112:D151,2))</f>
        <v/>
      </c>
      <c r="E152" s="133">
        <f>SUMPRODUCT(ROUND(E112:E151,2))</f>
        <v/>
      </c>
      <c r="F152" s="133">
        <f>SUMPRODUCT(ROUND(F112:F151,2))</f>
        <v/>
      </c>
      <c r="G152" s="134">
        <f>IFERROR(INDEX($F$1:$F$1001,ROW())/INDEX($D$1:$D$1001,ROW()),0)</f>
        <v/>
      </c>
      <c r="H152" s="135"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row>
    <row r="153">
      <c r="A153" s="118" t="n"/>
      <c r="B153" s="119" t="inlineStr">
        <is>
          <t>4.</t>
        </is>
      </c>
      <c r="C153" s="120">
        <f>IF($E$2="","",VLOOKUP($E$2,Sprachversionen!$B:$BN,35,FALSE))</f>
        <v/>
      </c>
      <c r="D153" s="121" t="n"/>
      <c r="E153" s="121" t="n"/>
      <c r="F153" s="121" t="n"/>
      <c r="G153" s="122" t="n"/>
      <c r="H153" s="123"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row>
    <row r="154">
      <c r="A154" s="118" t="n"/>
      <c r="B154" s="124" t="inlineStr">
        <is>
          <t>4.1</t>
        </is>
      </c>
      <c r="C154" s="125" t="n"/>
      <c r="D154" s="126" t="n"/>
      <c r="E154" s="127" t="n"/>
      <c r="F154" s="128" t="n"/>
      <c r="G154" s="129">
        <f>IFERROR(INDEX($F$1:$F$1001,ROW())/INDEX($D$1:$D$1001,ROW()),0)</f>
        <v/>
      </c>
      <c r="H154" s="130"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row>
    <row r="155">
      <c r="A155" s="118" t="n"/>
      <c r="B155" s="124" t="inlineStr">
        <is>
          <t>4.2</t>
        </is>
      </c>
      <c r="C155" s="125" t="n"/>
      <c r="D155" s="126" t="n"/>
      <c r="E155" s="127" t="n"/>
      <c r="F155" s="128" t="n"/>
      <c r="G155" s="129">
        <f>IFERROR(INDEX($F$1:$F$1001,ROW())/INDEX($D$1:$D$1001,ROW()),0)</f>
        <v/>
      </c>
      <c r="H155" s="130"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row>
    <row r="156">
      <c r="A156" s="118" t="n"/>
      <c r="B156" s="124" t="inlineStr">
        <is>
          <t>4.3</t>
        </is>
      </c>
      <c r="C156" s="125" t="n"/>
      <c r="D156" s="126" t="n"/>
      <c r="E156" s="127" t="n"/>
      <c r="F156" s="128" t="n"/>
      <c r="G156" s="129">
        <f>IFERROR(INDEX($F$1:$F$1001,ROW())/INDEX($D$1:$D$1001,ROW()),0)</f>
        <v/>
      </c>
      <c r="H156" s="130"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row>
    <row r="157">
      <c r="A157" s="118" t="n"/>
      <c r="B157" s="124" t="inlineStr">
        <is>
          <t>4.4</t>
        </is>
      </c>
      <c r="C157" s="125" t="n"/>
      <c r="D157" s="126" t="n"/>
      <c r="E157" s="127" t="n"/>
      <c r="F157" s="128" t="n"/>
      <c r="G157" s="129">
        <f>IFERROR(INDEX($F$1:$F$1001,ROW())/INDEX($D$1:$D$1001,ROW()),0)</f>
        <v/>
      </c>
      <c r="H157" s="130"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row>
    <row r="158">
      <c r="A158" s="118" t="n"/>
      <c r="B158" s="124" t="inlineStr">
        <is>
          <t>4.5</t>
        </is>
      </c>
      <c r="C158" s="125" t="n"/>
      <c r="D158" s="126" t="n"/>
      <c r="E158" s="127" t="n"/>
      <c r="F158" s="128" t="n"/>
      <c r="G158" s="129">
        <f>IFERROR(INDEX($F$1:$F$1001,ROW())/INDEX($D$1:$D$1001,ROW()),0)</f>
        <v/>
      </c>
      <c r="H158" s="130"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row>
    <row r="159">
      <c r="A159" s="118" t="n"/>
      <c r="B159" s="124" t="inlineStr">
        <is>
          <t>4.6</t>
        </is>
      </c>
      <c r="C159" s="125" t="n"/>
      <c r="D159" s="126" t="n"/>
      <c r="E159" s="127" t="n"/>
      <c r="F159" s="128" t="n"/>
      <c r="G159" s="129">
        <f>IFERROR(INDEX($F$1:$F$1001,ROW())/INDEX($D$1:$D$1001,ROW()),0)</f>
        <v/>
      </c>
      <c r="H159" s="130"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row>
    <row r="160" ht="13.5" customHeight="1">
      <c r="A160" s="118" t="n"/>
      <c r="B160" s="124" t="inlineStr">
        <is>
          <t>4.7</t>
        </is>
      </c>
      <c r="C160" s="125" t="n"/>
      <c r="D160" s="126" t="n"/>
      <c r="E160" s="127" t="n"/>
      <c r="F160" s="128" t="n"/>
      <c r="G160" s="129">
        <f>IFERROR(INDEX($F$1:$F$1001,ROW())/INDEX($D$1:$D$1001,ROW()),0)</f>
        <v/>
      </c>
      <c r="H160" s="130"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row>
    <row r="161">
      <c r="A161" s="118" t="n"/>
      <c r="B161" s="124" t="inlineStr">
        <is>
          <t>4.8</t>
        </is>
      </c>
      <c r="C161" s="125" t="n"/>
      <c r="D161" s="126" t="n"/>
      <c r="E161" s="127" t="n"/>
      <c r="F161" s="128" t="n"/>
      <c r="G161" s="129">
        <f>IFERROR(INDEX($F$1:$F$1001,ROW())/INDEX($D$1:$D$1001,ROW()),0)</f>
        <v/>
      </c>
      <c r="H161" s="130"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row>
    <row r="162">
      <c r="A162" s="118" t="n"/>
      <c r="B162" s="124" t="inlineStr">
        <is>
          <t>4.9</t>
        </is>
      </c>
      <c r="C162" s="125" t="n"/>
      <c r="D162" s="126" t="n"/>
      <c r="E162" s="127" t="n"/>
      <c r="F162" s="128" t="n"/>
      <c r="G162" s="129">
        <f>IFERROR(INDEX($F$1:$F$1001,ROW())/INDEX($D$1:$D$1001,ROW()),0)</f>
        <v/>
      </c>
      <c r="H162" s="130"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row>
    <row r="163" ht="13.5" customHeight="1">
      <c r="A163" s="118" t="n"/>
      <c r="B163" s="124" t="inlineStr">
        <is>
          <t>4.10</t>
        </is>
      </c>
      <c r="C163" s="125" t="n"/>
      <c r="D163" s="126" t="n"/>
      <c r="E163" s="127" t="n"/>
      <c r="F163" s="128" t="n"/>
      <c r="G163" s="129">
        <f>IFERROR(INDEX($F$1:$F$1001,ROW())/INDEX($D$1:$D$1001,ROW()),0)</f>
        <v/>
      </c>
      <c r="H163" s="130"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row>
    <row r="164" ht="12.6" customHeight="1">
      <c r="A164" s="118" t="n"/>
      <c r="B164" s="124" t="inlineStr">
        <is>
          <t>4.11</t>
        </is>
      </c>
      <c r="C164" s="125" t="n"/>
      <c r="D164" s="126" t="n"/>
      <c r="E164" s="127" t="n"/>
      <c r="F164" s="128" t="n"/>
      <c r="G164" s="129">
        <f>IFERROR(INDEX($F$1:$F$1001,ROW())/INDEX($D$1:$D$1001,ROW()),0)</f>
        <v/>
      </c>
      <c r="H164" s="130"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row>
    <row r="165" ht="12.6" customHeight="1">
      <c r="A165" s="118" t="n"/>
      <c r="B165" s="124" t="inlineStr">
        <is>
          <t>4.12</t>
        </is>
      </c>
      <c r="C165" s="125" t="n"/>
      <c r="D165" s="126" t="n"/>
      <c r="E165" s="127" t="n"/>
      <c r="F165" s="128" t="n"/>
      <c r="G165" s="129">
        <f>IFERROR(INDEX($F$1:$F$1001,ROW())/INDEX($D$1:$D$1001,ROW()),0)</f>
        <v/>
      </c>
      <c r="H165" s="130"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row>
    <row r="166" ht="12.6" customHeight="1">
      <c r="A166" s="118" t="n"/>
      <c r="B166" s="124" t="inlineStr">
        <is>
          <t>4.13</t>
        </is>
      </c>
      <c r="C166" s="125" t="n"/>
      <c r="D166" s="126" t="n"/>
      <c r="E166" s="127" t="n"/>
      <c r="F166" s="128" t="n"/>
      <c r="G166" s="129">
        <f>IFERROR(INDEX($F$1:$F$1001,ROW())/INDEX($D$1:$D$1001,ROW()),0)</f>
        <v/>
      </c>
      <c r="H166" s="130"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row>
    <row r="167">
      <c r="A167" s="118" t="n"/>
      <c r="B167" s="124" t="inlineStr">
        <is>
          <t>4.14</t>
        </is>
      </c>
      <c r="C167" s="125" t="n"/>
      <c r="D167" s="126" t="n"/>
      <c r="E167" s="127" t="n"/>
      <c r="F167" s="128" t="n"/>
      <c r="G167" s="129">
        <f>IFERROR(INDEX($F$1:$F$1001,ROW())/INDEX($D$1:$D$1001,ROW()),0)</f>
        <v/>
      </c>
      <c r="H167" s="130"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row>
    <row r="168" ht="13.5" customHeight="1">
      <c r="A168" s="118" t="n"/>
      <c r="B168" s="124" t="inlineStr">
        <is>
          <t>4.15</t>
        </is>
      </c>
      <c r="C168" s="125" t="n"/>
      <c r="D168" s="126" t="n"/>
      <c r="E168" s="127" t="n"/>
      <c r="F168" s="128" t="n"/>
      <c r="G168" s="129">
        <f>IFERROR(INDEX($F$1:$F$1001,ROW())/INDEX($D$1:$D$1001,ROW()),0)</f>
        <v/>
      </c>
      <c r="H168" s="130" t="n"/>
      <c r="I168" s="1" t="n"/>
      <c r="J168" s="1" t="n"/>
      <c r="K168" s="1" t="n"/>
      <c r="L168" s="1" t="n"/>
      <c r="M168" s="1" t="n"/>
      <c r="N168" s="1" t="n"/>
      <c r="O168" s="1" t="n"/>
      <c r="P168" s="1" t="n"/>
      <c r="Q168" s="1" t="n"/>
      <c r="R168" s="1" t="n"/>
      <c r="S168" s="1" t="n"/>
      <c r="T168" s="1" t="n"/>
      <c r="U168" s="1" t="n"/>
      <c r="V168" s="1" t="n"/>
      <c r="W168" s="86" t="n"/>
      <c r="X168" s="1" t="n"/>
      <c r="Y168" s="1" t="n"/>
      <c r="Z168" s="1" t="n"/>
      <c r="AA168" s="1" t="n"/>
      <c r="AB168" s="1" t="n"/>
    </row>
    <row r="169" ht="13.5" customHeight="1">
      <c r="A169" s="118" t="n"/>
      <c r="B169" s="124" t="inlineStr">
        <is>
          <t>4.16</t>
        </is>
      </c>
      <c r="C169" s="125" t="n"/>
      <c r="D169" s="126" t="n"/>
      <c r="E169" s="127" t="n"/>
      <c r="F169" s="128" t="n"/>
      <c r="G169" s="129">
        <f>IFERROR(INDEX($F$1:$F$1001,ROW())/INDEX($D$1:$D$1001,ROW()),0)</f>
        <v/>
      </c>
      <c r="H169" s="130"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row>
    <row r="170" ht="14.25" customHeight="1">
      <c r="A170" s="118" t="n"/>
      <c r="B170" s="124" t="inlineStr">
        <is>
          <t>4.17</t>
        </is>
      </c>
      <c r="C170" s="125" t="n"/>
      <c r="D170" s="126" t="n"/>
      <c r="E170" s="127" t="n"/>
      <c r="F170" s="128" t="n"/>
      <c r="G170" s="129">
        <f>IFERROR(INDEX($F$1:$F$1001,ROW())/INDEX($D$1:$D$1001,ROW()),0)</f>
        <v/>
      </c>
      <c r="H170" s="130"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row>
    <row r="171">
      <c r="A171" s="118" t="n"/>
      <c r="B171" s="124" t="inlineStr">
        <is>
          <t>4.18</t>
        </is>
      </c>
      <c r="C171" s="125" t="n"/>
      <c r="D171" s="126" t="n"/>
      <c r="E171" s="127" t="n"/>
      <c r="F171" s="128" t="n"/>
      <c r="G171" s="129">
        <f>IFERROR(INDEX($F$1:$F$1001,ROW())/INDEX($D$1:$D$1001,ROW()),0)</f>
        <v/>
      </c>
      <c r="H171" s="130"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row>
    <row r="172">
      <c r="A172" s="118" t="n"/>
      <c r="B172" s="124" t="inlineStr">
        <is>
          <t>4.19</t>
        </is>
      </c>
      <c r="C172" s="125" t="n"/>
      <c r="D172" s="126" t="n"/>
      <c r="E172" s="127" t="n"/>
      <c r="F172" s="128" t="n"/>
      <c r="G172" s="129">
        <f>IFERROR(INDEX($F$1:$F$1001,ROW())/INDEX($D$1:$D$1001,ROW()),0)</f>
        <v/>
      </c>
      <c r="H172" s="130"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row>
    <row r="173" ht="13.5" customHeight="1">
      <c r="A173" s="118" t="n"/>
      <c r="B173" s="124" t="inlineStr">
        <is>
          <t>4.20</t>
        </is>
      </c>
      <c r="C173" s="125" t="n"/>
      <c r="D173" s="126" t="n"/>
      <c r="E173" s="127" t="n"/>
      <c r="F173" s="128" t="n"/>
      <c r="G173" s="129">
        <f>IFERROR(INDEX($F$1:$F$1001,ROW())/INDEX($D$1:$D$1001,ROW()),0)</f>
        <v/>
      </c>
      <c r="H173" s="130"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row>
    <row r="174">
      <c r="A174" s="118" t="n"/>
      <c r="B174" s="124" t="inlineStr">
        <is>
          <t>4.21</t>
        </is>
      </c>
      <c r="C174" s="125" t="n"/>
      <c r="D174" s="126" t="n"/>
      <c r="E174" s="127" t="n"/>
      <c r="F174" s="128" t="n"/>
      <c r="G174" s="129">
        <f>IFERROR(INDEX($F$1:$F$1001,ROW())/INDEX($D$1:$D$1001,ROW()),0)</f>
        <v/>
      </c>
      <c r="H174" s="130"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row>
    <row r="175">
      <c r="A175" s="118" t="n"/>
      <c r="B175" s="124" t="inlineStr">
        <is>
          <t>4.22</t>
        </is>
      </c>
      <c r="C175" s="125" t="n"/>
      <c r="D175" s="126" t="n"/>
      <c r="E175" s="127" t="n"/>
      <c r="F175" s="128" t="n"/>
      <c r="G175" s="129">
        <f>IFERROR(INDEX($F$1:$F$1001,ROW())/INDEX($D$1:$D$1001,ROW()),0)</f>
        <v/>
      </c>
      <c r="H175" s="130"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row>
    <row r="176">
      <c r="A176" s="118" t="n"/>
      <c r="B176" s="124" t="inlineStr">
        <is>
          <t>4.23</t>
        </is>
      </c>
      <c r="C176" s="125" t="n"/>
      <c r="D176" s="126" t="n"/>
      <c r="E176" s="127" t="n"/>
      <c r="F176" s="128" t="n"/>
      <c r="G176" s="129">
        <f>IFERROR(INDEX($F$1:$F$1001,ROW())/INDEX($D$1:$D$1001,ROW()),0)</f>
        <v/>
      </c>
      <c r="H176" s="130"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row>
    <row r="177">
      <c r="A177" s="118" t="n"/>
      <c r="B177" s="124" t="inlineStr">
        <is>
          <t>4.24</t>
        </is>
      </c>
      <c r="C177" s="125" t="n"/>
      <c r="D177" s="126" t="n"/>
      <c r="E177" s="127" t="n"/>
      <c r="F177" s="128" t="n"/>
      <c r="G177" s="129">
        <f>IFERROR(INDEX($F$1:$F$1001,ROW())/INDEX($D$1:$D$1001,ROW()),0)</f>
        <v/>
      </c>
      <c r="H177" s="130"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row>
    <row r="178">
      <c r="A178" s="118" t="n"/>
      <c r="B178" s="124" t="inlineStr">
        <is>
          <t>4.25</t>
        </is>
      </c>
      <c r="C178" s="125" t="n"/>
      <c r="D178" s="126" t="n"/>
      <c r="E178" s="127" t="n"/>
      <c r="F178" s="128" t="n"/>
      <c r="G178" s="129">
        <f>IFERROR(INDEX($F$1:$F$1001,ROW())/INDEX($D$1:$D$1001,ROW()),0)</f>
        <v/>
      </c>
      <c r="H178" s="130"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row>
    <row r="179">
      <c r="A179" s="118" t="n"/>
      <c r="B179" s="124" t="inlineStr">
        <is>
          <t>4.26</t>
        </is>
      </c>
      <c r="C179" s="125" t="n"/>
      <c r="D179" s="126" t="n"/>
      <c r="E179" s="127" t="n"/>
      <c r="F179" s="128" t="n"/>
      <c r="G179" s="129">
        <f>IFERROR(INDEX($F$1:$F$1001,ROW())/INDEX($D$1:$D$1001,ROW()),0)</f>
        <v/>
      </c>
      <c r="H179" s="130"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row>
    <row r="180">
      <c r="A180" s="118" t="n"/>
      <c r="B180" s="124" t="inlineStr">
        <is>
          <t>4.27</t>
        </is>
      </c>
      <c r="C180" s="125" t="n"/>
      <c r="D180" s="126" t="n"/>
      <c r="E180" s="127" t="n"/>
      <c r="F180" s="128" t="n"/>
      <c r="G180" s="129">
        <f>IFERROR(INDEX($F$1:$F$1001,ROW())/INDEX($D$1:$D$1001,ROW()),0)</f>
        <v/>
      </c>
      <c r="H180" s="130"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row>
    <row r="181">
      <c r="A181" s="118" t="n"/>
      <c r="B181" s="124" t="inlineStr">
        <is>
          <t>4.28</t>
        </is>
      </c>
      <c r="C181" s="125" t="n"/>
      <c r="D181" s="126" t="n"/>
      <c r="E181" s="127" t="n"/>
      <c r="F181" s="128" t="n"/>
      <c r="G181" s="129">
        <f>IFERROR(INDEX($F$1:$F$1001,ROW())/INDEX($D$1:$D$1001,ROW()),0)</f>
        <v/>
      </c>
      <c r="H181" s="130"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row>
    <row r="182">
      <c r="A182" s="118" t="n"/>
      <c r="B182" s="124" t="inlineStr">
        <is>
          <t>4.29</t>
        </is>
      </c>
      <c r="C182" s="125" t="n"/>
      <c r="D182" s="126" t="n"/>
      <c r="E182" s="127" t="n"/>
      <c r="F182" s="128" t="n"/>
      <c r="G182" s="129">
        <f>IFERROR(INDEX($F$1:$F$1001,ROW())/INDEX($D$1:$D$1001,ROW()),0)</f>
        <v/>
      </c>
      <c r="H182" s="130"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row>
    <row r="183">
      <c r="A183" s="118" t="n"/>
      <c r="B183" s="124" t="inlineStr">
        <is>
          <t>4.30</t>
        </is>
      </c>
      <c r="C183" s="125" t="n"/>
      <c r="D183" s="126" t="n"/>
      <c r="E183" s="127" t="n"/>
      <c r="F183" s="128" t="n"/>
      <c r="G183" s="129">
        <f>IFERROR(INDEX($F$1:$F$1001,ROW())/INDEX($D$1:$D$1001,ROW()),0)</f>
        <v/>
      </c>
      <c r="H183" s="130"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row>
    <row r="184">
      <c r="A184" s="118" t="n"/>
      <c r="B184" s="124" t="inlineStr">
        <is>
          <t>4.31</t>
        </is>
      </c>
      <c r="C184" s="125" t="n"/>
      <c r="D184" s="126" t="n"/>
      <c r="E184" s="127" t="n"/>
      <c r="F184" s="128" t="n"/>
      <c r="G184" s="129">
        <f>IFERROR(INDEX($F$1:$F$1001,ROW())/INDEX($D$1:$D$1001,ROW()),0)</f>
        <v/>
      </c>
      <c r="H184" s="130"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row>
    <row r="185">
      <c r="A185" s="118" t="n"/>
      <c r="B185" s="124" t="inlineStr">
        <is>
          <t>4.32</t>
        </is>
      </c>
      <c r="C185" s="125" t="n"/>
      <c r="D185" s="126" t="n"/>
      <c r="E185" s="127" t="n"/>
      <c r="F185" s="128" t="n"/>
      <c r="G185" s="129">
        <f>IFERROR(INDEX($F$1:$F$1001,ROW())/INDEX($D$1:$D$1001,ROW()),0)</f>
        <v/>
      </c>
      <c r="H185" s="130"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row>
    <row r="186">
      <c r="A186" s="118" t="n"/>
      <c r="B186" s="124" t="inlineStr">
        <is>
          <t>4.33</t>
        </is>
      </c>
      <c r="C186" s="125" t="n"/>
      <c r="D186" s="126" t="n"/>
      <c r="E186" s="127" t="n"/>
      <c r="F186" s="128" t="n"/>
      <c r="G186" s="129">
        <f>IFERROR(INDEX($F$1:$F$1001,ROW())/INDEX($D$1:$D$1001,ROW()),0)</f>
        <v/>
      </c>
      <c r="H186" s="130"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row>
    <row r="187">
      <c r="A187" s="118" t="n"/>
      <c r="B187" s="124" t="inlineStr">
        <is>
          <t>4.34</t>
        </is>
      </c>
      <c r="C187" s="125" t="n"/>
      <c r="D187" s="126" t="n"/>
      <c r="E187" s="127" t="n"/>
      <c r="F187" s="128" t="n"/>
      <c r="G187" s="129">
        <f>IFERROR(INDEX($F$1:$F$1001,ROW())/INDEX($D$1:$D$1001,ROW()),0)</f>
        <v/>
      </c>
      <c r="H187" s="130"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row>
    <row r="188">
      <c r="A188" s="118" t="n"/>
      <c r="B188" s="124" t="inlineStr">
        <is>
          <t>4.35</t>
        </is>
      </c>
      <c r="C188" s="125" t="n"/>
      <c r="D188" s="126" t="n"/>
      <c r="E188" s="127" t="n"/>
      <c r="F188" s="128" t="n"/>
      <c r="G188" s="129">
        <f>IFERROR(INDEX($F$1:$F$1001,ROW())/INDEX($D$1:$D$1001,ROW()),0)</f>
        <v/>
      </c>
      <c r="H188" s="130"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row>
    <row r="189">
      <c r="A189" s="118" t="n"/>
      <c r="B189" s="124" t="inlineStr">
        <is>
          <t>4.36</t>
        </is>
      </c>
      <c r="C189" s="125" t="n"/>
      <c r="D189" s="126" t="n"/>
      <c r="E189" s="127" t="n"/>
      <c r="F189" s="128" t="n"/>
      <c r="G189" s="129">
        <f>IFERROR(INDEX($F$1:$F$1001,ROW())/INDEX($D$1:$D$1001,ROW()),0)</f>
        <v/>
      </c>
      <c r="H189" s="130"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row>
    <row r="190">
      <c r="A190" s="118" t="n"/>
      <c r="B190" s="124" t="inlineStr">
        <is>
          <t>4.37</t>
        </is>
      </c>
      <c r="C190" s="125" t="n"/>
      <c r="D190" s="126" t="n"/>
      <c r="E190" s="127" t="n"/>
      <c r="F190" s="128" t="n"/>
      <c r="G190" s="129">
        <f>IFERROR(INDEX($F$1:$F$1001,ROW())/INDEX($D$1:$D$1001,ROW()),0)</f>
        <v/>
      </c>
      <c r="H190" s="130" t="n"/>
    </row>
    <row r="191">
      <c r="A191" s="118" t="n"/>
      <c r="B191" s="124" t="inlineStr">
        <is>
          <t>4.38</t>
        </is>
      </c>
      <c r="C191" s="125" t="n"/>
      <c r="D191" s="126" t="n"/>
      <c r="E191" s="127" t="n"/>
      <c r="F191" s="128" t="n"/>
      <c r="G191" s="129">
        <f>IFERROR(INDEX($F$1:$F$1001,ROW())/INDEX($D$1:$D$1001,ROW()),0)</f>
        <v/>
      </c>
      <c r="H191" s="130" t="n"/>
    </row>
    <row r="192">
      <c r="A192" s="118" t="n"/>
      <c r="B192" s="124" t="inlineStr">
        <is>
          <t>4.39</t>
        </is>
      </c>
      <c r="C192" s="125" t="n"/>
      <c r="D192" s="126" t="n"/>
      <c r="E192" s="127" t="n"/>
      <c r="F192" s="128" t="n"/>
      <c r="G192" s="129">
        <f>IFERROR(INDEX($F$1:$F$1001,ROW())/INDEX($D$1:$D$1001,ROW()),0)</f>
        <v/>
      </c>
      <c r="H192" s="130" t="n"/>
    </row>
    <row r="193">
      <c r="A193" s="118" t="n"/>
      <c r="B193" s="124" t="inlineStr">
        <is>
          <t>4.40</t>
        </is>
      </c>
      <c r="C193" s="125" t="n"/>
      <c r="D193" s="126" t="n"/>
      <c r="E193" s="127" t="n"/>
      <c r="F193" s="128" t="n"/>
      <c r="G193" s="129">
        <f>IFERROR(INDEX($F$1:$F$1001,ROW())/INDEX($D$1:$D$1001,ROW()),0)</f>
        <v/>
      </c>
      <c r="H193" s="130" t="n"/>
    </row>
    <row r="194">
      <c r="A194" s="118" t="n"/>
      <c r="B194" s="131">
        <f>IF($E$2="","",VLOOKUP($E$2,Sprachversionen!$B:$BN,36,FALSE))</f>
        <v/>
      </c>
      <c r="C194" s="132" t="n"/>
      <c r="D194" s="133">
        <f>SUMPRODUCT(ROUND(D154:D193,2))</f>
        <v/>
      </c>
      <c r="E194" s="133">
        <f>SUMPRODUCT(ROUND(E154:E193,2))</f>
        <v/>
      </c>
      <c r="F194" s="133">
        <f>SUMPRODUCT(ROUND(F154:F193,2))</f>
        <v/>
      </c>
      <c r="G194" s="134">
        <f>IFERROR(INDEX($F$1:$F$1001,ROW())/INDEX($D$1:$D$1001,ROW()),0)</f>
        <v/>
      </c>
      <c r="H194" s="135" t="n"/>
    </row>
    <row r="195">
      <c r="A195" s="118" t="n"/>
      <c r="B195" s="119" t="inlineStr">
        <is>
          <t>5.</t>
        </is>
      </c>
      <c r="C195" s="120">
        <f>IF($E$2="","",VLOOKUP($E$2,Sprachversionen!$B:$BN,37,FALSE))</f>
        <v/>
      </c>
      <c r="D195" s="121" t="n"/>
      <c r="E195" s="121" t="n"/>
      <c r="F195" s="121" t="n"/>
      <c r="G195" s="122" t="n"/>
      <c r="H195" s="123" t="n"/>
    </row>
    <row r="196">
      <c r="A196" s="118" t="n"/>
      <c r="B196" s="124" t="inlineStr">
        <is>
          <t>5.1</t>
        </is>
      </c>
      <c r="C196" s="125" t="n"/>
      <c r="D196" s="126" t="n"/>
      <c r="E196" s="127" t="n"/>
      <c r="F196" s="128" t="n"/>
      <c r="G196" s="129">
        <f>IFERROR(INDEX($F$1:$F$1001,ROW())/INDEX($D$1:$D$1001,ROW()),0)</f>
        <v/>
      </c>
      <c r="H196" s="130" t="n"/>
    </row>
    <row r="197">
      <c r="A197" s="118" t="n"/>
      <c r="B197" s="124" t="inlineStr">
        <is>
          <t>5.2</t>
        </is>
      </c>
      <c r="C197" s="125" t="n"/>
      <c r="D197" s="126" t="n"/>
      <c r="E197" s="127" t="n"/>
      <c r="F197" s="128" t="n"/>
      <c r="G197" s="129">
        <f>IFERROR(INDEX($F$1:$F$1001,ROW())/INDEX($D$1:$D$1001,ROW()),0)</f>
        <v/>
      </c>
      <c r="H197" s="130" t="n"/>
    </row>
    <row r="198">
      <c r="A198" s="118" t="n"/>
      <c r="B198" s="124" t="inlineStr">
        <is>
          <t>5.3</t>
        </is>
      </c>
      <c r="C198" s="125" t="n"/>
      <c r="D198" s="126" t="n"/>
      <c r="E198" s="127" t="n"/>
      <c r="F198" s="128" t="n"/>
      <c r="G198" s="129">
        <f>IFERROR(INDEX($F$1:$F$1001,ROW())/INDEX($D$1:$D$1001,ROW()),0)</f>
        <v/>
      </c>
      <c r="H198" s="130" t="n"/>
    </row>
    <row r="199">
      <c r="A199" s="118" t="n"/>
      <c r="B199" s="124" t="inlineStr">
        <is>
          <t>5.4</t>
        </is>
      </c>
      <c r="C199" s="125" t="n"/>
      <c r="D199" s="126" t="n"/>
      <c r="E199" s="127" t="n"/>
      <c r="F199" s="128" t="n"/>
      <c r="G199" s="129">
        <f>IFERROR(INDEX($F$1:$F$1001,ROW())/INDEX($D$1:$D$1001,ROW()),0)</f>
        <v/>
      </c>
      <c r="H199" s="130" t="n"/>
    </row>
    <row r="200">
      <c r="A200" s="118" t="n"/>
      <c r="B200" s="124" t="inlineStr">
        <is>
          <t>5.5</t>
        </is>
      </c>
      <c r="C200" s="125" t="n"/>
      <c r="D200" s="126" t="n"/>
      <c r="E200" s="127" t="n"/>
      <c r="F200" s="128" t="n"/>
      <c r="G200" s="129">
        <f>IFERROR(INDEX($F$1:$F$1001,ROW())/INDEX($D$1:$D$1001,ROW()),0)</f>
        <v/>
      </c>
      <c r="H200" s="130" t="n"/>
    </row>
    <row r="201">
      <c r="A201" s="118" t="n"/>
      <c r="B201" s="124" t="inlineStr">
        <is>
          <t>5.6</t>
        </is>
      </c>
      <c r="C201" s="125" t="n"/>
      <c r="D201" s="126" t="n"/>
      <c r="E201" s="127" t="n"/>
      <c r="F201" s="128" t="n"/>
      <c r="G201" s="129">
        <f>IFERROR(INDEX($F$1:$F$1001,ROW())/INDEX($D$1:$D$1001,ROW()),0)</f>
        <v/>
      </c>
      <c r="H201" s="130" t="n"/>
    </row>
    <row r="202">
      <c r="A202" s="118" t="n"/>
      <c r="B202" s="124" t="inlineStr">
        <is>
          <t>5.7</t>
        </is>
      </c>
      <c r="C202" s="125" t="n"/>
      <c r="D202" s="126" t="n"/>
      <c r="E202" s="127" t="n"/>
      <c r="F202" s="128" t="n"/>
      <c r="G202" s="129">
        <f>IFERROR(INDEX($F$1:$F$1001,ROW())/INDEX($D$1:$D$1001,ROW()),0)</f>
        <v/>
      </c>
      <c r="H202" s="130" t="n"/>
    </row>
    <row r="203">
      <c r="A203" s="118" t="n"/>
      <c r="B203" s="124" t="inlineStr">
        <is>
          <t>5.8</t>
        </is>
      </c>
      <c r="C203" s="125" t="n"/>
      <c r="D203" s="126" t="n"/>
      <c r="E203" s="127" t="n"/>
      <c r="F203" s="128" t="n"/>
      <c r="G203" s="129">
        <f>IFERROR(INDEX($F$1:$F$1001,ROW())/INDEX($D$1:$D$1001,ROW()),0)</f>
        <v/>
      </c>
      <c r="H203" s="130" t="n"/>
    </row>
    <row r="204">
      <c r="A204" s="118" t="n"/>
      <c r="B204" s="124" t="inlineStr">
        <is>
          <t>5.9</t>
        </is>
      </c>
      <c r="C204" s="125" t="n"/>
      <c r="D204" s="126" t="n"/>
      <c r="E204" s="127" t="n"/>
      <c r="F204" s="128" t="n"/>
      <c r="G204" s="129">
        <f>IFERROR(INDEX($F$1:$F$1001,ROW())/INDEX($D$1:$D$1001,ROW()),0)</f>
        <v/>
      </c>
      <c r="H204" s="130" t="n"/>
    </row>
    <row r="205">
      <c r="A205" s="118" t="n"/>
      <c r="B205" s="124" t="inlineStr">
        <is>
          <t>5.10</t>
        </is>
      </c>
      <c r="C205" s="125" t="n"/>
      <c r="D205" s="126" t="n"/>
      <c r="E205" s="127" t="n"/>
      <c r="F205" s="128" t="n"/>
      <c r="G205" s="129">
        <f>IFERROR(INDEX($F$1:$F$1001,ROW())/INDEX($D$1:$D$1001,ROW()),0)</f>
        <v/>
      </c>
      <c r="H205" s="130" t="n"/>
    </row>
    <row r="206">
      <c r="A206" s="118" t="n"/>
      <c r="B206" s="124" t="inlineStr">
        <is>
          <t>5.11</t>
        </is>
      </c>
      <c r="C206" s="125" t="n"/>
      <c r="D206" s="126" t="n"/>
      <c r="E206" s="127" t="n"/>
      <c r="F206" s="128" t="n"/>
      <c r="G206" s="129">
        <f>IFERROR(INDEX($F$1:$F$1001,ROW())/INDEX($D$1:$D$1001,ROW()),0)</f>
        <v/>
      </c>
      <c r="H206" s="130" t="n"/>
    </row>
    <row r="207">
      <c r="A207" s="118" t="n"/>
      <c r="B207" s="124" t="inlineStr">
        <is>
          <t>5.12</t>
        </is>
      </c>
      <c r="C207" s="125" t="n"/>
      <c r="D207" s="126" t="n"/>
      <c r="E207" s="127" t="n"/>
      <c r="F207" s="128" t="n"/>
      <c r="G207" s="129">
        <f>IFERROR(INDEX($F$1:$F$1001,ROW())/INDEX($D$1:$D$1001,ROW()),0)</f>
        <v/>
      </c>
      <c r="H207" s="130" t="n"/>
    </row>
    <row r="208">
      <c r="A208" s="118" t="n"/>
      <c r="B208" s="124" t="inlineStr">
        <is>
          <t>5.13</t>
        </is>
      </c>
      <c r="C208" s="125" t="n"/>
      <c r="D208" s="126" t="n"/>
      <c r="E208" s="127" t="n"/>
      <c r="F208" s="128" t="n"/>
      <c r="G208" s="129">
        <f>IFERROR(INDEX($F$1:$F$1001,ROW())/INDEX($D$1:$D$1001,ROW()),0)</f>
        <v/>
      </c>
      <c r="H208" s="130" t="n"/>
    </row>
    <row r="209">
      <c r="A209" s="118" t="n"/>
      <c r="B209" s="124" t="inlineStr">
        <is>
          <t>5.14</t>
        </is>
      </c>
      <c r="C209" s="125" t="n"/>
      <c r="D209" s="126" t="n"/>
      <c r="E209" s="127" t="n"/>
      <c r="F209" s="128" t="n"/>
      <c r="G209" s="129">
        <f>IFERROR(INDEX($F$1:$F$1001,ROW())/INDEX($D$1:$D$1001,ROW()),0)</f>
        <v/>
      </c>
      <c r="H209" s="130" t="n"/>
    </row>
    <row r="210">
      <c r="A210" s="118" t="n"/>
      <c r="B210" s="124" t="inlineStr">
        <is>
          <t>5.15</t>
        </is>
      </c>
      <c r="C210" s="125" t="n"/>
      <c r="D210" s="126" t="n"/>
      <c r="E210" s="127" t="n"/>
      <c r="F210" s="128" t="n"/>
      <c r="G210" s="129">
        <f>IFERROR(INDEX($F$1:$F$1001,ROW())/INDEX($D$1:$D$1001,ROW()),0)</f>
        <v/>
      </c>
      <c r="H210" s="130" t="n"/>
    </row>
    <row r="211">
      <c r="A211" s="118" t="n"/>
      <c r="B211" s="124" t="inlineStr">
        <is>
          <t>5.16</t>
        </is>
      </c>
      <c r="C211" s="125" t="n"/>
      <c r="D211" s="126" t="n"/>
      <c r="E211" s="127" t="n"/>
      <c r="F211" s="128" t="n"/>
      <c r="G211" s="129">
        <f>IFERROR(INDEX($F$1:$F$1001,ROW())/INDEX($D$1:$D$1001,ROW()),0)</f>
        <v/>
      </c>
      <c r="H211" s="130" t="n"/>
    </row>
    <row r="212">
      <c r="A212" s="118" t="n"/>
      <c r="B212" s="124" t="inlineStr">
        <is>
          <t>5.17</t>
        </is>
      </c>
      <c r="C212" s="125" t="n"/>
      <c r="D212" s="126" t="n"/>
      <c r="E212" s="127" t="n"/>
      <c r="F212" s="128" t="n"/>
      <c r="G212" s="129">
        <f>IFERROR(INDEX($F$1:$F$1001,ROW())/INDEX($D$1:$D$1001,ROW()),0)</f>
        <v/>
      </c>
      <c r="H212" s="130" t="n"/>
    </row>
    <row r="213">
      <c r="A213" s="118" t="n"/>
      <c r="B213" s="124" t="inlineStr">
        <is>
          <t>5.18</t>
        </is>
      </c>
      <c r="C213" s="125" t="n"/>
      <c r="D213" s="126" t="n"/>
      <c r="E213" s="127" t="n"/>
      <c r="F213" s="128" t="n"/>
      <c r="G213" s="129">
        <f>IFERROR(INDEX($F$1:$F$1001,ROW())/INDEX($D$1:$D$1001,ROW()),0)</f>
        <v/>
      </c>
      <c r="H213" s="130" t="n"/>
    </row>
    <row r="214">
      <c r="A214" s="118" t="n"/>
      <c r="B214" s="124" t="inlineStr">
        <is>
          <t>5.19</t>
        </is>
      </c>
      <c r="C214" s="125" t="n"/>
      <c r="D214" s="126" t="n"/>
      <c r="E214" s="127" t="n"/>
      <c r="F214" s="128" t="n"/>
      <c r="G214" s="129">
        <f>IFERROR(INDEX($F$1:$F$1001,ROW())/INDEX($D$1:$D$1001,ROW()),0)</f>
        <v/>
      </c>
      <c r="H214" s="130" t="n"/>
    </row>
    <row r="215">
      <c r="A215" s="118" t="n"/>
      <c r="B215" s="124" t="inlineStr">
        <is>
          <t>5.20</t>
        </is>
      </c>
      <c r="C215" s="125" t="n"/>
      <c r="D215" s="126" t="n"/>
      <c r="E215" s="127" t="n"/>
      <c r="F215" s="128" t="n"/>
      <c r="G215" s="129">
        <f>IFERROR(INDEX($F$1:$F$1001,ROW())/INDEX($D$1:$D$1001,ROW()),0)</f>
        <v/>
      </c>
      <c r="H215" s="130" t="n"/>
    </row>
    <row r="216">
      <c r="A216" s="118" t="n"/>
      <c r="B216" s="124" t="inlineStr">
        <is>
          <t>5.21</t>
        </is>
      </c>
      <c r="C216" s="125" t="n"/>
      <c r="D216" s="126" t="n"/>
      <c r="E216" s="127" t="n"/>
      <c r="F216" s="128" t="n"/>
      <c r="G216" s="129">
        <f>IFERROR(INDEX($F$1:$F$1001,ROW())/INDEX($D$1:$D$1001,ROW()),0)</f>
        <v/>
      </c>
      <c r="H216" s="130" t="n"/>
    </row>
    <row r="217">
      <c r="A217" s="118" t="n"/>
      <c r="B217" s="124" t="inlineStr">
        <is>
          <t>5.22</t>
        </is>
      </c>
      <c r="C217" s="125" t="n"/>
      <c r="D217" s="126" t="n"/>
      <c r="E217" s="127" t="n"/>
      <c r="F217" s="128" t="n"/>
      <c r="G217" s="129">
        <f>IFERROR(INDEX($F$1:$F$1001,ROW())/INDEX($D$1:$D$1001,ROW()),0)</f>
        <v/>
      </c>
      <c r="H217" s="130" t="n"/>
    </row>
    <row r="218">
      <c r="A218" s="118" t="n"/>
      <c r="B218" s="124" t="inlineStr">
        <is>
          <t>5.23</t>
        </is>
      </c>
      <c r="C218" s="125" t="n"/>
      <c r="D218" s="126" t="n"/>
      <c r="E218" s="127" t="n"/>
      <c r="F218" s="128" t="n"/>
      <c r="G218" s="129">
        <f>IFERROR(INDEX($F$1:$F$1001,ROW())/INDEX($D$1:$D$1001,ROW()),0)</f>
        <v/>
      </c>
      <c r="H218" s="130" t="n"/>
    </row>
    <row r="219">
      <c r="A219" s="118" t="n"/>
      <c r="B219" s="124" t="inlineStr">
        <is>
          <t>5.24</t>
        </is>
      </c>
      <c r="C219" s="125" t="n"/>
      <c r="D219" s="126" t="n"/>
      <c r="E219" s="127" t="n"/>
      <c r="F219" s="128" t="n"/>
      <c r="G219" s="129">
        <f>IFERROR(INDEX($F$1:$F$1001,ROW())/INDEX($D$1:$D$1001,ROW()),0)</f>
        <v/>
      </c>
      <c r="H219" s="130" t="n"/>
    </row>
    <row r="220">
      <c r="A220" s="118" t="n"/>
      <c r="B220" s="124" t="inlineStr">
        <is>
          <t>5.25</t>
        </is>
      </c>
      <c r="C220" s="125" t="n"/>
      <c r="D220" s="126" t="n"/>
      <c r="E220" s="127" t="n"/>
      <c r="F220" s="128" t="n"/>
      <c r="G220" s="129">
        <f>IFERROR(INDEX($F$1:$F$1001,ROW())/INDEX($D$1:$D$1001,ROW()),0)</f>
        <v/>
      </c>
      <c r="H220" s="130" t="n"/>
    </row>
    <row r="221">
      <c r="A221" s="118" t="n"/>
      <c r="B221" s="124" t="inlineStr">
        <is>
          <t>5.26</t>
        </is>
      </c>
      <c r="C221" s="125" t="n"/>
      <c r="D221" s="126" t="n"/>
      <c r="E221" s="127" t="n"/>
      <c r="F221" s="128" t="n"/>
      <c r="G221" s="129">
        <f>IFERROR(INDEX($F$1:$F$1001,ROW())/INDEX($D$1:$D$1001,ROW()),0)</f>
        <v/>
      </c>
      <c r="H221" s="130" t="n"/>
    </row>
    <row r="222">
      <c r="A222" s="118" t="n"/>
      <c r="B222" s="124" t="inlineStr">
        <is>
          <t>5.27</t>
        </is>
      </c>
      <c r="C222" s="125" t="n"/>
      <c r="D222" s="126" t="n"/>
      <c r="E222" s="127" t="n"/>
      <c r="F222" s="128" t="n"/>
      <c r="G222" s="129">
        <f>IFERROR(INDEX($F$1:$F$1001,ROW())/INDEX($D$1:$D$1001,ROW()),0)</f>
        <v/>
      </c>
      <c r="H222" s="130" t="n"/>
    </row>
    <row r="223">
      <c r="A223" s="118" t="n"/>
      <c r="B223" s="124" t="inlineStr">
        <is>
          <t>5.28</t>
        </is>
      </c>
      <c r="C223" s="125" t="n"/>
      <c r="D223" s="126" t="n"/>
      <c r="E223" s="127" t="n"/>
      <c r="F223" s="128" t="n"/>
      <c r="G223" s="129">
        <f>IFERROR(INDEX($F$1:$F$1001,ROW())/INDEX($D$1:$D$1001,ROW()),0)</f>
        <v/>
      </c>
      <c r="H223" s="130" t="n"/>
    </row>
    <row r="224">
      <c r="A224" s="118" t="n"/>
      <c r="B224" s="124" t="inlineStr">
        <is>
          <t>5.29</t>
        </is>
      </c>
      <c r="C224" s="125" t="n"/>
      <c r="D224" s="126" t="n"/>
      <c r="E224" s="127" t="n"/>
      <c r="F224" s="128" t="n"/>
      <c r="G224" s="129">
        <f>IFERROR(INDEX($F$1:$F$1001,ROW())/INDEX($D$1:$D$1001,ROW()),0)</f>
        <v/>
      </c>
      <c r="H224" s="130" t="n"/>
    </row>
    <row r="225">
      <c r="A225" s="118" t="n"/>
      <c r="B225" s="124" t="inlineStr">
        <is>
          <t>5.30</t>
        </is>
      </c>
      <c r="C225" s="125" t="n"/>
      <c r="D225" s="126" t="n"/>
      <c r="E225" s="127" t="n"/>
      <c r="F225" s="128" t="n"/>
      <c r="G225" s="129">
        <f>IFERROR(INDEX($F$1:$F$1001,ROW())/INDEX($D$1:$D$1001,ROW()),0)</f>
        <v/>
      </c>
      <c r="H225" s="130" t="n"/>
    </row>
    <row r="226">
      <c r="A226" s="118" t="n"/>
      <c r="B226" s="124" t="inlineStr">
        <is>
          <t>5.31</t>
        </is>
      </c>
      <c r="C226" s="125" t="n"/>
      <c r="D226" s="126" t="n"/>
      <c r="E226" s="127" t="n"/>
      <c r="F226" s="128" t="n"/>
      <c r="G226" s="129">
        <f>IFERROR(INDEX($F$1:$F$1001,ROW())/INDEX($D$1:$D$1001,ROW()),0)</f>
        <v/>
      </c>
      <c r="H226" s="130" t="n"/>
    </row>
    <row r="227">
      <c r="A227" s="118" t="n"/>
      <c r="B227" s="124" t="inlineStr">
        <is>
          <t>5.32</t>
        </is>
      </c>
      <c r="C227" s="125" t="n"/>
      <c r="D227" s="126" t="n"/>
      <c r="E227" s="127" t="n"/>
      <c r="F227" s="128" t="n"/>
      <c r="G227" s="129">
        <f>IFERROR(INDEX($F$1:$F$1001,ROW())/INDEX($D$1:$D$1001,ROW()),0)</f>
        <v/>
      </c>
      <c r="H227" s="130" t="n"/>
    </row>
    <row r="228">
      <c r="A228" s="118" t="n"/>
      <c r="B228" s="124" t="inlineStr">
        <is>
          <t>5.33</t>
        </is>
      </c>
      <c r="C228" s="125" t="n"/>
      <c r="D228" s="126" t="n"/>
      <c r="E228" s="127" t="n"/>
      <c r="F228" s="128" t="n"/>
      <c r="G228" s="129">
        <f>IFERROR(INDEX($F$1:$F$1001,ROW())/INDEX($D$1:$D$1001,ROW()),0)</f>
        <v/>
      </c>
      <c r="H228" s="130" t="n"/>
    </row>
    <row r="229">
      <c r="A229" s="118" t="n"/>
      <c r="B229" s="124" t="inlineStr">
        <is>
          <t>5.34</t>
        </is>
      </c>
      <c r="C229" s="125" t="n"/>
      <c r="D229" s="126" t="n"/>
      <c r="E229" s="127" t="n"/>
      <c r="F229" s="128" t="n"/>
      <c r="G229" s="129">
        <f>IFERROR(INDEX($F$1:$F$1001,ROW())/INDEX($D$1:$D$1001,ROW()),0)</f>
        <v/>
      </c>
      <c r="H229" s="130" t="n"/>
    </row>
    <row r="230">
      <c r="A230" s="118" t="n"/>
      <c r="B230" s="124" t="inlineStr">
        <is>
          <t>5.35</t>
        </is>
      </c>
      <c r="C230" s="125" t="n"/>
      <c r="D230" s="126" t="n"/>
      <c r="E230" s="127" t="n"/>
      <c r="F230" s="128" t="n"/>
      <c r="G230" s="129">
        <f>IFERROR(INDEX($F$1:$F$1001,ROW())/INDEX($D$1:$D$1001,ROW()),0)</f>
        <v/>
      </c>
      <c r="H230" s="130" t="n"/>
    </row>
    <row r="231">
      <c r="A231" s="118" t="n"/>
      <c r="B231" s="124" t="inlineStr">
        <is>
          <t>5.36</t>
        </is>
      </c>
      <c r="C231" s="125" t="n"/>
      <c r="D231" s="126" t="n"/>
      <c r="E231" s="127" t="n"/>
      <c r="F231" s="128" t="n"/>
      <c r="G231" s="129">
        <f>IFERROR(INDEX($F$1:$F$1001,ROW())/INDEX($D$1:$D$1001,ROW()),0)</f>
        <v/>
      </c>
      <c r="H231" s="130" t="n"/>
    </row>
    <row r="232">
      <c r="A232" s="118" t="n"/>
      <c r="B232" s="124" t="inlineStr">
        <is>
          <t>5.37</t>
        </is>
      </c>
      <c r="C232" s="125" t="n"/>
      <c r="D232" s="126" t="n"/>
      <c r="E232" s="127" t="n"/>
      <c r="F232" s="128" t="n"/>
      <c r="G232" s="129">
        <f>IFERROR(INDEX($F$1:$F$1001,ROW())/INDEX($D$1:$D$1001,ROW()),0)</f>
        <v/>
      </c>
      <c r="H232" s="130" t="n"/>
    </row>
    <row r="233">
      <c r="A233" s="118" t="n"/>
      <c r="B233" s="124" t="inlineStr">
        <is>
          <t>5.38</t>
        </is>
      </c>
      <c r="C233" s="125" t="n"/>
      <c r="D233" s="126" t="n"/>
      <c r="E233" s="127" t="n"/>
      <c r="F233" s="128" t="n"/>
      <c r="G233" s="129">
        <f>IFERROR(INDEX($F$1:$F$1001,ROW())/INDEX($D$1:$D$1001,ROW()),0)</f>
        <v/>
      </c>
      <c r="H233" s="130" t="n"/>
    </row>
    <row r="234">
      <c r="A234" s="118" t="n"/>
      <c r="B234" s="124" t="inlineStr">
        <is>
          <t>5.39</t>
        </is>
      </c>
      <c r="C234" s="125" t="n"/>
      <c r="D234" s="126" t="n"/>
      <c r="E234" s="127" t="n"/>
      <c r="F234" s="128" t="n"/>
      <c r="G234" s="129">
        <f>IFERROR(INDEX($F$1:$F$1001,ROW())/INDEX($D$1:$D$1001,ROW()),0)</f>
        <v/>
      </c>
      <c r="H234" s="130" t="n"/>
    </row>
    <row r="235">
      <c r="A235" s="118" t="n"/>
      <c r="B235" s="124" t="inlineStr">
        <is>
          <t>5.40</t>
        </is>
      </c>
      <c r="C235" s="125" t="n"/>
      <c r="D235" s="126" t="n"/>
      <c r="E235" s="127" t="n"/>
      <c r="F235" s="128" t="n"/>
      <c r="G235" s="129">
        <f>IFERROR(INDEX($F$1:$F$1001,ROW())/INDEX($D$1:$D$1001,ROW()),0)</f>
        <v/>
      </c>
      <c r="H235" s="130" t="n"/>
    </row>
    <row r="236">
      <c r="A236" s="118" t="n"/>
      <c r="B236" s="131">
        <f>IF($E$2="","",VLOOKUP($E$2,Sprachversionen!$B:$BN,38,FALSE))</f>
        <v/>
      </c>
      <c r="C236" s="132" t="n"/>
      <c r="D236" s="133">
        <f>SUMPRODUCT(ROUND(D196:D235,2))</f>
        <v/>
      </c>
      <c r="E236" s="133">
        <f>SUMPRODUCT(ROUND(E196:E235,2))</f>
        <v/>
      </c>
      <c r="F236" s="133">
        <f>SUMPRODUCT(ROUND(F196:F235,2))</f>
        <v/>
      </c>
      <c r="G236" s="134">
        <f>IFERROR(INDEX($F$1:$F$1001,ROW())/INDEX($D$1:$D$1001,ROW()),0)</f>
        <v/>
      </c>
      <c r="H236" s="135" t="n"/>
    </row>
    <row r="237">
      <c r="A237" s="118" t="n"/>
      <c r="B237" s="119" t="inlineStr">
        <is>
          <t>6.</t>
        </is>
      </c>
      <c r="C237" s="136">
        <f>IF($E$2="","",VLOOKUP($E$2,Sprachversionen!$B:$BN,39,FALSE))</f>
        <v/>
      </c>
      <c r="D237" s="126" t="n"/>
      <c r="E237" s="127" t="n"/>
      <c r="F237" s="128" t="n"/>
      <c r="G237" s="129">
        <f>IFERROR(INDEX($F$1:$F$1001,ROW())/INDEX($D$1:$D$1001,ROW()),0)</f>
        <v/>
      </c>
      <c r="H237" s="130" t="n"/>
    </row>
    <row r="238">
      <c r="A238" s="118" t="n"/>
      <c r="B238" s="119" t="inlineStr">
        <is>
          <t>7.</t>
        </is>
      </c>
      <c r="C238" s="136">
        <f>IF($E$2="","",VLOOKUP($E$2,Sprachversionen!$B:$BN,40,FALSE))</f>
        <v/>
      </c>
      <c r="D238" s="126" t="n"/>
      <c r="E238" s="127" t="n"/>
      <c r="F238" s="128" t="n"/>
      <c r="G238" s="129">
        <f>IFERROR(INDEX($F$1:$F$1001,ROW())/INDEX($D$1:$D$1001,ROW()),0)</f>
        <v/>
      </c>
      <c r="H238" s="130" t="n"/>
    </row>
    <row r="239">
      <c r="A239" s="118" t="n"/>
      <c r="B239" s="119" t="inlineStr">
        <is>
          <t>8.</t>
        </is>
      </c>
      <c r="C239" s="137">
        <f>IF($E$2="","",VLOOKUP($E$2,Sprachversionen!$B:$BN,41,FALSE))</f>
        <v/>
      </c>
      <c r="D239" s="126" t="n"/>
      <c r="E239" s="127" t="n"/>
      <c r="F239" s="128" t="n"/>
      <c r="G239" s="129">
        <f>IFERROR(INDEX($F$1:$F$1001,ROW())/INDEX($D$1:$D$1001,ROW()),0)</f>
        <v/>
      </c>
      <c r="H239" s="130" t="n"/>
    </row>
    <row r="240">
      <c r="A240" s="118" t="n"/>
      <c r="B240" s="138">
        <f>IF($E$2="","",VLOOKUP($E$2,Sprachversionen!$B:$BN,42,FALSE))</f>
        <v/>
      </c>
      <c r="C240" s="139" t="n"/>
      <c r="D240" s="140">
        <f>D68+D110+D152+D194+D236+D237+D238+D239</f>
        <v/>
      </c>
      <c r="E240" s="140">
        <f>E68+E110+E152+E194+E236+E237+E238+E239</f>
        <v/>
      </c>
      <c r="F240" s="140">
        <f>F68+F110+F152+F194+F236+F237+F238+F239</f>
        <v/>
      </c>
      <c r="G240" s="141">
        <f>IFERROR(INDEX($F$1:$F$1001,ROW())/INDEX($D$1:$D$1001,ROW()),0)</f>
        <v/>
      </c>
      <c r="H240" s="142" t="n"/>
    </row>
    <row r="241">
      <c r="A241" s="118" t="n"/>
      <c r="B241" s="118" t="n"/>
      <c r="C241" s="118" t="n"/>
      <c r="D241" s="118" t="n"/>
      <c r="E241" s="118" t="n"/>
      <c r="F241" s="118" t="n"/>
      <c r="G241" s="118" t="n"/>
      <c r="H241" s="118" t="n"/>
    </row>
    <row r="242">
      <c r="A242" s="118" t="n"/>
      <c r="B242" s="118" t="n"/>
      <c r="C242" s="118" t="n"/>
      <c r="D242" s="118" t="n"/>
      <c r="E242" s="118" t="n"/>
      <c r="F242" s="118" t="n"/>
      <c r="G242" s="118" t="n"/>
      <c r="H242" s="118" t="n"/>
    </row>
    <row r="243">
      <c r="A243" s="118" t="n"/>
      <c r="B243" s="118" t="n"/>
      <c r="C243" s="118" t="n"/>
      <c r="D243" s="118" t="n"/>
      <c r="E243" s="118" t="n"/>
      <c r="F243" s="118" t="n"/>
      <c r="G243" s="118" t="n"/>
      <c r="H243" s="118" t="n"/>
    </row>
    <row r="244">
      <c r="A244" s="118" t="n"/>
      <c r="B244" s="143" t="n"/>
      <c r="C244" s="144" t="n"/>
      <c r="D244" s="145" t="n"/>
      <c r="E244" s="146">
        <f>IF($E$2="","",VLOOKUP($E$2,Sprachversionen!$B:$BN,44,FALSE))</f>
        <v/>
      </c>
      <c r="F244" s="118" t="n"/>
      <c r="G244" s="118" t="n"/>
      <c r="H244" s="118" t="n"/>
    </row>
    <row r="245">
      <c r="A245" s="118" t="n"/>
      <c r="B245" s="147">
        <f>IF($E$2="","",VLOOKUP($E$2,Sprachversionen!$B:$BN,43,FALSE))</f>
        <v/>
      </c>
      <c r="C245" s="10" t="n"/>
      <c r="D245" s="62" t="n"/>
      <c r="E245" s="11" t="n"/>
      <c r="F245" s="118" t="n"/>
      <c r="G245" s="118" t="n"/>
      <c r="H245" s="118" t="n"/>
    </row>
    <row r="246">
      <c r="A246" s="118" t="n"/>
      <c r="B246" s="148" t="n"/>
      <c r="C246" s="10" t="n"/>
      <c r="D246" s="149" t="n"/>
      <c r="E246" s="150">
        <f>B13</f>
        <v/>
      </c>
      <c r="F246" s="118" t="n"/>
      <c r="G246" s="118" t="n"/>
      <c r="H246" s="118" t="n"/>
    </row>
    <row r="247">
      <c r="A247" s="118" t="n"/>
      <c r="B247" s="151" t="n"/>
      <c r="C247" s="152" t="n"/>
      <c r="D247" s="153" t="n"/>
      <c r="E247" s="154" t="n"/>
      <c r="F247" s="118" t="n"/>
      <c r="G247" s="118" t="n"/>
      <c r="H247" s="118" t="n"/>
    </row>
    <row r="248">
      <c r="A248" s="118" t="n"/>
      <c r="B248" s="155">
        <f>IF($E$2="","",VLOOKUP($E$2,Sprachversionen!$B:$BN,45,FALSE))</f>
        <v/>
      </c>
      <c r="C248" s="156" t="n"/>
      <c r="D248" s="157">
        <f>IF(ROUND(E248,2)=(ROUND(F20-F240,2)),"✓","")</f>
        <v/>
      </c>
      <c r="E248" s="158">
        <f>E20-E240</f>
        <v/>
      </c>
      <c r="F248" s="118" t="n"/>
      <c r="G248" s="118" t="n"/>
      <c r="H248" s="118" t="n"/>
    </row>
    <row r="249">
      <c r="A249" s="118" t="n"/>
      <c r="B249" s="151" t="n"/>
      <c r="C249" s="152" t="n"/>
      <c r="D249" s="152" t="n"/>
      <c r="E249" s="154" t="n"/>
      <c r="F249" s="118" t="n"/>
      <c r="G249" s="118" t="n"/>
      <c r="H249" s="118" t="n"/>
    </row>
    <row r="250">
      <c r="A250" s="118" t="n"/>
      <c r="B250" s="159">
        <f>IF($E$2="","",VLOOKUP($E$2,Sprachversionen!$B:$BN,46,FALSE))</f>
        <v/>
      </c>
      <c r="C250" s="152" t="n"/>
      <c r="D250" s="152" t="n"/>
      <c r="E250" s="160">
        <f>IF(E248=SUM(E251:E253),"OK","")</f>
        <v/>
      </c>
      <c r="F250" s="118" t="n"/>
      <c r="G250" s="118" t="n"/>
      <c r="H250" s="118" t="n"/>
    </row>
    <row r="251">
      <c r="A251" s="118" t="n"/>
      <c r="B251" s="161">
        <f>IF($E$2="","",VLOOKUP($E$2,Sprachversionen!$B:$BN,47,FALSE))</f>
        <v/>
      </c>
      <c r="C251" s="156" t="n"/>
      <c r="D251" s="156" t="n"/>
      <c r="E251" s="162" t="n"/>
      <c r="F251" s="118" t="n"/>
      <c r="G251" s="118" t="n"/>
      <c r="H251" s="118" t="n"/>
    </row>
    <row r="252">
      <c r="A252" s="118" t="n"/>
      <c r="B252" s="161">
        <f>IF($E$2="","",VLOOKUP($E$2,Sprachversionen!$B:$BN,48,FALSE))</f>
        <v/>
      </c>
      <c r="C252" s="156" t="n"/>
      <c r="D252" s="156" t="n"/>
      <c r="E252" s="162" t="n"/>
      <c r="F252" s="118" t="n"/>
      <c r="G252" s="118" t="n"/>
      <c r="H252" s="118" t="n"/>
    </row>
    <row r="253">
      <c r="A253" s="118" t="n"/>
      <c r="B253" s="163">
        <f>IF($E$2="","",VLOOKUP($E$2,Sprachversionen!$B:$BN,49,FALSE))</f>
        <v/>
      </c>
      <c r="C253" s="164" t="n"/>
      <c r="D253" s="164" t="n"/>
      <c r="E253" s="165" t="n"/>
      <c r="F253" s="118" t="n"/>
      <c r="G253" s="118" t="n"/>
      <c r="H253" s="118" t="n"/>
    </row>
    <row r="254">
      <c r="A254" s="118" t="n"/>
      <c r="B254" s="152" t="n"/>
      <c r="C254" s="152" t="n"/>
      <c r="D254" s="152" t="n"/>
      <c r="E254" s="152" t="n"/>
      <c r="F254" s="118" t="n"/>
      <c r="G254" s="118" t="n"/>
      <c r="H254" s="118" t="n"/>
    </row>
    <row r="255">
      <c r="A255" s="118" t="n"/>
      <c r="B255" s="152" t="n"/>
      <c r="C255" s="152" t="n"/>
      <c r="D255" s="152" t="n"/>
      <c r="E255" s="152" t="n"/>
      <c r="F255" s="118" t="n"/>
      <c r="G255" s="118" t="n"/>
      <c r="H255" s="118" t="n"/>
    </row>
    <row r="256">
      <c r="A256" s="118" t="n"/>
      <c r="B256" s="152" t="n"/>
      <c r="C256" s="152" t="n"/>
      <c r="D256" s="152" t="n"/>
      <c r="E256" s="152" t="n"/>
      <c r="F256" s="118" t="n"/>
      <c r="G256" s="118" t="n"/>
      <c r="H256" s="118" t="n"/>
    </row>
    <row r="257">
      <c r="A257" s="118" t="n"/>
      <c r="B257" s="152">
        <f>IF($E$2="","",VLOOKUP($E$2,Sprachversionen!$B:$BN,50,FALSE))</f>
        <v/>
      </c>
      <c r="C257" s="152" t="n"/>
      <c r="D257" s="152" t="n"/>
      <c r="E257" s="152" t="n"/>
      <c r="F257" s="118" t="n"/>
      <c r="G257" s="118" t="n"/>
      <c r="H257" s="118" t="n"/>
    </row>
    <row r="258">
      <c r="A258" s="118" t="n"/>
      <c r="B258" s="152">
        <f>IF($E$2="","",VLOOKUP($E$2,Sprachversionen!$B:$BN,54,FALSE))</f>
        <v/>
      </c>
      <c r="C258" s="152" t="n"/>
      <c r="D258" s="152" t="n"/>
      <c r="E258" s="152" t="n"/>
      <c r="F258" s="118" t="n"/>
      <c r="G258" s="118" t="n"/>
      <c r="H258" s="118" t="n"/>
    </row>
    <row r="259">
      <c r="A259" s="118" t="n"/>
      <c r="B259" s="152" t="n"/>
      <c r="C259" s="152" t="n"/>
      <c r="D259" s="152" t="n"/>
      <c r="E259" s="152" t="n"/>
      <c r="F259" s="118" t="n"/>
      <c r="G259" s="118" t="n"/>
      <c r="H259" s="118" t="n"/>
    </row>
    <row r="260">
      <c r="A260" s="118" t="n"/>
      <c r="B260" s="152" t="n"/>
      <c r="C260" s="152" t="n"/>
      <c r="D260" s="152" t="n"/>
      <c r="E260" s="152" t="n"/>
      <c r="F260" s="118" t="n"/>
      <c r="G260" s="118" t="n"/>
      <c r="H260" s="118" t="n"/>
    </row>
    <row r="261">
      <c r="A261" s="118" t="n"/>
      <c r="B261" s="152" t="n"/>
      <c r="C261" s="152" t="n"/>
      <c r="D261" s="152" t="n"/>
      <c r="E261" s="152" t="n"/>
      <c r="F261" s="118" t="n"/>
      <c r="G261" s="118" t="n"/>
      <c r="H261" s="118" t="n"/>
    </row>
    <row r="262">
      <c r="A262" s="118" t="n"/>
      <c r="B262" s="152" t="n"/>
      <c r="C262" s="152" t="n"/>
      <c r="D262" s="152" t="n"/>
      <c r="E262" s="152" t="n"/>
      <c r="F262" s="118" t="n"/>
      <c r="G262" s="118" t="n"/>
      <c r="H262" s="118" t="n"/>
    </row>
    <row r="263">
      <c r="A263" s="118" t="n"/>
      <c r="B263" s="166">
        <f>IF($E$2="","",VLOOKUP($E$2,Sprachversionen!$B:$BN,51,FALSE))</f>
        <v/>
      </c>
      <c r="C263" s="167" t="n"/>
      <c r="D263" s="166">
        <f>IF($E$2="","",VLOOKUP($E$2,Sprachversionen!$B:$BN,52,FALSE))</f>
        <v/>
      </c>
      <c r="E263" s="167" t="n"/>
      <c r="F263" s="168" t="n"/>
      <c r="G263" s="168" t="n"/>
      <c r="H263" s="118" t="n"/>
    </row>
    <row r="264">
      <c r="A264" s="118" t="n"/>
      <c r="B264" s="152" t="n"/>
      <c r="C264" s="152" t="n"/>
      <c r="D264" s="152">
        <f>IF($E$2="","",VLOOKUP($E$2,Sprachversionen!$B:$BN,53,FALSE))</f>
        <v/>
      </c>
      <c r="E264" s="152" t="n"/>
      <c r="F264" s="118" t="n"/>
      <c r="G264" s="118" t="n"/>
      <c r="H264" s="118" t="n"/>
    </row>
    <row r="265">
      <c r="A265" s="118" t="n"/>
      <c r="B265" s="118" t="n"/>
      <c r="C265" s="118" t="n"/>
      <c r="D265" s="118" t="n"/>
      <c r="E265" s="118" t="n"/>
      <c r="F265" s="118" t="n"/>
      <c r="G265" s="118" t="n"/>
      <c r="H265" s="118" t="n"/>
    </row>
    <row r="266">
      <c r="A266" s="118" t="n"/>
      <c r="B266" s="118" t="n"/>
      <c r="C266" s="118" t="n"/>
      <c r="D266" s="118" t="n"/>
      <c r="E266" s="118" t="n"/>
      <c r="F266" s="118" t="n"/>
      <c r="G266" s="118" t="n"/>
      <c r="H266" s="118" t="n"/>
    </row>
    <row r="267">
      <c r="A267" s="118" t="n"/>
      <c r="B267" s="118" t="n"/>
      <c r="C267" s="118" t="n"/>
      <c r="D267" s="118" t="n"/>
      <c r="E267" s="118" t="n"/>
      <c r="F267" s="118" t="n"/>
      <c r="G267" s="118" t="n"/>
      <c r="H267" s="118" t="n"/>
    </row>
    <row r="268">
      <c r="A268" s="118" t="n"/>
      <c r="B268" s="118" t="n"/>
      <c r="C268" s="118" t="n"/>
      <c r="D268" s="118" t="n"/>
      <c r="E268" s="118" t="n"/>
      <c r="F268" s="118" t="n"/>
      <c r="G268" s="118" t="n"/>
      <c r="H268" s="118" t="n"/>
    </row>
    <row r="269">
      <c r="A269" s="118" t="n"/>
      <c r="B269" s="118" t="n"/>
      <c r="C269" s="118" t="n"/>
      <c r="D269" s="118" t="n"/>
      <c r="E269" s="118" t="n"/>
      <c r="F269" s="118" t="n"/>
      <c r="G269" s="118" t="n"/>
      <c r="H269" s="118" t="n"/>
    </row>
    <row r="270">
      <c r="A270" s="118" t="n"/>
      <c r="B270" s="118" t="n"/>
      <c r="C270" s="118" t="n"/>
      <c r="D270" s="118" t="n"/>
      <c r="E270" s="118" t="n"/>
      <c r="F270" s="118" t="n"/>
      <c r="G270" s="118" t="n"/>
      <c r="H270" s="118" t="n"/>
    </row>
    <row r="271">
      <c r="A271" s="118" t="n"/>
      <c r="B271" s="118" t="n"/>
      <c r="C271" s="118" t="n"/>
      <c r="D271" s="118" t="n"/>
      <c r="E271" s="118" t="n"/>
      <c r="F271" s="118" t="n"/>
      <c r="G271" s="118" t="n"/>
      <c r="H271" s="118" t="n"/>
    </row>
    <row r="272">
      <c r="A272" s="118" t="n"/>
      <c r="B272" s="118" t="n"/>
      <c r="C272" s="118" t="n"/>
      <c r="D272" s="118" t="n"/>
      <c r="E272" s="118" t="n"/>
      <c r="F272" s="118" t="n"/>
      <c r="G272" s="118" t="n"/>
      <c r="H272" s="118" t="n"/>
    </row>
    <row r="273">
      <c r="A273" s="118" t="n"/>
      <c r="B273" s="118" t="n"/>
      <c r="C273" s="118" t="n"/>
      <c r="D273" s="118" t="n"/>
      <c r="E273" s="118" t="n"/>
      <c r="F273" s="118" t="n"/>
      <c r="G273" s="118" t="n"/>
      <c r="H273" s="118" t="n"/>
    </row>
    <row r="274">
      <c r="A274" s="118" t="n"/>
      <c r="B274" s="118" t="n"/>
      <c r="C274" s="118" t="n"/>
      <c r="D274" s="118" t="n"/>
      <c r="E274" s="118" t="n"/>
      <c r="F274" s="118" t="n"/>
      <c r="G274" s="118" t="n"/>
      <c r="H274" s="118" t="n"/>
    </row>
    <row r="275">
      <c r="A275" s="118" t="n"/>
      <c r="B275" s="118" t="n"/>
      <c r="C275" s="118" t="n"/>
      <c r="D275" s="118" t="n"/>
      <c r="E275" s="118" t="n"/>
      <c r="F275" s="118" t="n"/>
      <c r="G275" s="118" t="n"/>
      <c r="H275" s="118" t="n"/>
    </row>
    <row r="276">
      <c r="A276" s="118" t="n"/>
      <c r="B276" s="118" t="n"/>
      <c r="C276" s="118" t="n"/>
      <c r="D276" s="118" t="n"/>
      <c r="E276" s="118" t="n"/>
      <c r="F276" s="118" t="n"/>
      <c r="G276" s="118" t="n"/>
      <c r="H276" s="118" t="n"/>
    </row>
    <row r="277">
      <c r="A277" s="118" t="n"/>
      <c r="B277" s="118" t="n"/>
      <c r="C277" s="118" t="n"/>
      <c r="D277" s="118" t="n"/>
      <c r="E277" s="118" t="n"/>
      <c r="F277" s="118" t="n"/>
      <c r="G277" s="118" t="n"/>
      <c r="H277" s="118" t="n"/>
    </row>
    <row r="278">
      <c r="A278" s="118" t="n"/>
      <c r="B278" s="118" t="n"/>
      <c r="C278" s="118" t="n"/>
      <c r="D278" s="118" t="n"/>
      <c r="E278" s="118" t="n"/>
      <c r="F278" s="118" t="n"/>
      <c r="G278" s="118" t="n"/>
      <c r="H278" s="118" t="n"/>
    </row>
    <row r="279">
      <c r="A279" s="118" t="n"/>
      <c r="B279" s="118" t="n"/>
      <c r="C279" s="118" t="n"/>
      <c r="D279" s="118" t="n"/>
      <c r="E279" s="118" t="n"/>
      <c r="F279" s="118" t="n"/>
      <c r="G279" s="118" t="n"/>
      <c r="H279" s="118" t="n"/>
    </row>
    <row r="280">
      <c r="A280" s="118" t="n"/>
      <c r="B280" s="118" t="n"/>
      <c r="C280" s="118" t="n"/>
      <c r="D280" s="118" t="n"/>
      <c r="E280" s="118" t="n"/>
      <c r="F280" s="118" t="n"/>
      <c r="G280" s="118" t="n"/>
      <c r="H280" s="118" t="n"/>
    </row>
    <row r="281">
      <c r="A281" s="118" t="n"/>
      <c r="B281" s="118" t="n"/>
      <c r="C281" s="118" t="n"/>
      <c r="D281" s="118" t="n"/>
      <c r="E281" s="118" t="n"/>
      <c r="F281" s="118" t="n"/>
      <c r="G281" s="118" t="n"/>
      <c r="H281" s="118" t="n"/>
    </row>
    <row r="282">
      <c r="A282" s="118" t="n"/>
      <c r="B282" s="118" t="n"/>
      <c r="C282" s="118" t="n"/>
      <c r="D282" s="118" t="n"/>
      <c r="E282" s="118" t="n"/>
      <c r="F282" s="118" t="n"/>
      <c r="G282" s="118" t="n"/>
      <c r="H282" s="118" t="n"/>
    </row>
    <row r="283">
      <c r="A283" s="118" t="n"/>
      <c r="B283" s="118" t="n"/>
      <c r="C283" s="118" t="n"/>
      <c r="D283" s="118" t="n"/>
      <c r="E283" s="118" t="n"/>
      <c r="F283" s="118" t="n"/>
      <c r="G283" s="118" t="n"/>
      <c r="H283" s="118" t="n"/>
    </row>
    <row r="284">
      <c r="A284" s="118" t="n"/>
      <c r="B284" s="118" t="n"/>
      <c r="C284" s="118" t="n"/>
      <c r="D284" s="118" t="n"/>
      <c r="E284" s="118" t="n"/>
      <c r="F284" s="118" t="n"/>
      <c r="G284" s="118" t="n"/>
      <c r="H284" s="118" t="n"/>
    </row>
    <row r="285">
      <c r="A285" s="118" t="n"/>
      <c r="B285" s="118" t="n"/>
      <c r="C285" s="118" t="n"/>
      <c r="D285" s="118" t="n"/>
      <c r="E285" s="118" t="n"/>
      <c r="F285" s="118" t="n"/>
      <c r="G285" s="118" t="n"/>
      <c r="H285" s="118" t="n"/>
    </row>
    <row r="286">
      <c r="A286" s="118" t="n"/>
      <c r="B286" s="118" t="n"/>
      <c r="C286" s="118" t="n"/>
      <c r="D286" s="118" t="n"/>
      <c r="E286" s="118" t="n"/>
      <c r="F286" s="118" t="n"/>
      <c r="G286" s="118" t="n"/>
      <c r="H286" s="118" t="n"/>
    </row>
    <row r="287">
      <c r="A287" s="118" t="n"/>
      <c r="B287" s="118" t="n"/>
      <c r="C287" s="118" t="n"/>
      <c r="D287" s="118" t="n"/>
      <c r="E287" s="118" t="n"/>
      <c r="F287" s="118" t="n"/>
      <c r="G287" s="118" t="n"/>
      <c r="H287" s="118" t="n"/>
    </row>
    <row r="288">
      <c r="A288" s="118" t="n"/>
      <c r="B288" s="118" t="n"/>
      <c r="C288" s="118" t="n"/>
      <c r="D288" s="118" t="n"/>
      <c r="E288" s="118" t="n"/>
      <c r="F288" s="118" t="n"/>
      <c r="G288" s="118" t="n"/>
      <c r="H288" s="118" t="n"/>
    </row>
    <row r="289">
      <c r="A289" s="118" t="n"/>
      <c r="B289" s="118" t="n"/>
      <c r="C289" s="118" t="n"/>
      <c r="D289" s="118" t="n"/>
      <c r="E289" s="118" t="n"/>
      <c r="F289" s="118" t="n"/>
      <c r="G289" s="118" t="n"/>
      <c r="H289" s="118" t="n"/>
    </row>
    <row r="290">
      <c r="A290" s="118" t="n"/>
      <c r="B290" s="118" t="n"/>
      <c r="C290" s="118" t="n"/>
      <c r="D290" s="118" t="n"/>
      <c r="E290" s="118" t="n"/>
      <c r="F290" s="118" t="n"/>
      <c r="G290" s="118" t="n"/>
      <c r="H290" s="118" t="n"/>
    </row>
    <row r="291">
      <c r="A291" s="118" t="n"/>
      <c r="B291" s="118" t="n"/>
      <c r="C291" s="118" t="n"/>
      <c r="D291" s="118" t="n"/>
      <c r="E291" s="118" t="n"/>
      <c r="F291" s="118" t="n"/>
      <c r="G291" s="118" t="n"/>
      <c r="H291" s="118" t="n"/>
    </row>
    <row r="292">
      <c r="A292" s="118" t="n"/>
      <c r="B292" s="118" t="n"/>
      <c r="C292" s="118" t="n"/>
      <c r="D292" s="118" t="n"/>
      <c r="E292" s="118" t="n"/>
      <c r="F292" s="118" t="n"/>
      <c r="G292" s="118" t="n"/>
      <c r="H292" s="118" t="n"/>
    </row>
    <row r="293">
      <c r="A293" s="118" t="n"/>
      <c r="B293" s="118" t="n"/>
      <c r="C293" s="118" t="n"/>
      <c r="D293" s="118" t="n"/>
      <c r="E293" s="118" t="n"/>
      <c r="F293" s="118" t="n"/>
      <c r="G293" s="118" t="n"/>
      <c r="H293" s="118" t="n"/>
    </row>
    <row r="294">
      <c r="A294" s="118" t="n"/>
      <c r="B294" s="118" t="n"/>
      <c r="C294" s="118" t="n"/>
      <c r="D294" s="118" t="n"/>
      <c r="E294" s="118" t="n"/>
      <c r="F294" s="118" t="n"/>
      <c r="G294" s="118" t="n"/>
      <c r="H294" s="118" t="n"/>
    </row>
    <row r="295">
      <c r="A295" s="118" t="n"/>
      <c r="B295" s="118" t="n"/>
      <c r="C295" s="118" t="n"/>
      <c r="D295" s="118" t="n"/>
      <c r="E295" s="118" t="n"/>
      <c r="F295" s="118" t="n"/>
      <c r="G295" s="118" t="n"/>
      <c r="H295" s="118" t="n"/>
    </row>
    <row r="296">
      <c r="A296" s="118" t="n"/>
      <c r="B296" s="118" t="n"/>
      <c r="C296" s="118" t="n"/>
      <c r="D296" s="118" t="n"/>
      <c r="E296" s="118" t="n"/>
      <c r="F296" s="118" t="n"/>
      <c r="G296" s="118" t="n"/>
      <c r="H296" s="118" t="n"/>
    </row>
    <row r="297">
      <c r="A297" s="118" t="n"/>
      <c r="B297" s="118" t="n"/>
      <c r="C297" s="118" t="n"/>
      <c r="D297" s="118" t="n"/>
      <c r="E297" s="118" t="n"/>
      <c r="F297" s="118" t="n"/>
      <c r="G297" s="118" t="n"/>
      <c r="H297" s="118" t="n"/>
    </row>
    <row r="298">
      <c r="A298" s="118" t="n"/>
      <c r="B298" s="118" t="n"/>
      <c r="C298" s="118" t="n"/>
      <c r="D298" s="118" t="n"/>
      <c r="E298" s="118" t="n"/>
      <c r="F298" s="118" t="n"/>
      <c r="G298" s="118" t="n"/>
      <c r="H298" s="118" t="n"/>
    </row>
    <row r="299">
      <c r="A299" s="118" t="n"/>
      <c r="B299" s="118" t="n"/>
      <c r="C299" s="118" t="n"/>
      <c r="D299" s="118" t="n"/>
      <c r="E299" s="118" t="n"/>
      <c r="F299" s="118" t="n"/>
      <c r="G299" s="118" t="n"/>
      <c r="H299" s="118" t="n"/>
    </row>
    <row r="300">
      <c r="A300" s="118" t="n"/>
      <c r="B300" s="118" t="n"/>
      <c r="C300" s="118" t="n"/>
      <c r="D300" s="118" t="n"/>
      <c r="E300" s="118" t="n"/>
      <c r="F300" s="118" t="n"/>
      <c r="G300" s="118" t="n"/>
      <c r="H300" s="118" t="n"/>
    </row>
    <row r="301">
      <c r="A301" s="118" t="n"/>
      <c r="B301" s="118" t="n"/>
      <c r="C301" s="118" t="n"/>
      <c r="D301" s="118" t="n"/>
      <c r="E301" s="118" t="n"/>
      <c r="F301" s="118" t="n"/>
      <c r="G301" s="118" t="n"/>
      <c r="H301" s="118" t="n"/>
    </row>
    <row r="302">
      <c r="A302" s="118" t="n"/>
      <c r="B302" s="118" t="n"/>
      <c r="C302" s="118" t="n"/>
      <c r="D302" s="118" t="n"/>
      <c r="E302" s="118" t="n"/>
      <c r="F302" s="118" t="n"/>
      <c r="G302" s="118" t="n"/>
      <c r="H302" s="118" t="n"/>
    </row>
    <row r="303">
      <c r="A303" s="118" t="n"/>
      <c r="B303" s="118" t="n"/>
      <c r="C303" s="118" t="n"/>
      <c r="D303" s="118" t="n"/>
      <c r="E303" s="118" t="n"/>
      <c r="F303" s="118" t="n"/>
      <c r="G303" s="118" t="n"/>
      <c r="H303" s="118" t="n"/>
    </row>
    <row r="304">
      <c r="A304" s="118" t="n"/>
      <c r="B304" s="118" t="n"/>
      <c r="C304" s="118" t="n"/>
      <c r="D304" s="118" t="n"/>
      <c r="E304" s="118" t="n"/>
      <c r="F304" s="118" t="n"/>
      <c r="G304" s="118" t="n"/>
      <c r="H304" s="118" t="n"/>
    </row>
    <row r="305">
      <c r="A305" s="118" t="n"/>
      <c r="B305" s="118" t="n"/>
      <c r="C305" s="118" t="n"/>
      <c r="D305" s="118" t="n"/>
      <c r="E305" s="118" t="n"/>
      <c r="F305" s="118" t="n"/>
      <c r="G305" s="118" t="n"/>
      <c r="H305" s="118" t="n"/>
    </row>
    <row r="306">
      <c r="A306" s="118" t="n"/>
      <c r="B306" s="118" t="n"/>
      <c r="C306" s="118" t="n"/>
      <c r="D306" s="118" t="n"/>
      <c r="E306" s="118" t="n"/>
      <c r="F306" s="118" t="n"/>
      <c r="G306" s="118" t="n"/>
      <c r="H306" s="118" t="n"/>
    </row>
    <row r="307">
      <c r="A307" s="118" t="n"/>
      <c r="B307" s="118" t="n"/>
      <c r="C307" s="118" t="n"/>
      <c r="D307" s="118" t="n"/>
      <c r="E307" s="118" t="n"/>
      <c r="F307" s="118" t="n"/>
      <c r="G307" s="118" t="n"/>
      <c r="H307" s="118" t="n"/>
    </row>
    <row r="308">
      <c r="A308" s="118" t="n"/>
      <c r="B308" s="118" t="n"/>
      <c r="C308" s="118" t="n"/>
      <c r="D308" s="118" t="n"/>
      <c r="E308" s="118" t="n"/>
      <c r="F308" s="118" t="n"/>
      <c r="G308" s="118" t="n"/>
      <c r="H308" s="118" t="n"/>
    </row>
    <row r="309">
      <c r="A309" s="118" t="n"/>
      <c r="B309" s="118" t="n"/>
      <c r="C309" s="118" t="n"/>
      <c r="D309" s="118" t="n"/>
      <c r="E309" s="118" t="n"/>
      <c r="F309" s="118" t="n"/>
      <c r="G309" s="118" t="n"/>
      <c r="H309" s="118" t="n"/>
    </row>
    <row r="310">
      <c r="A310" s="118" t="n"/>
      <c r="B310" s="118" t="n"/>
      <c r="C310" s="118" t="n"/>
      <c r="D310" s="118" t="n"/>
      <c r="E310" s="118" t="n"/>
      <c r="F310" s="118" t="n"/>
      <c r="G310" s="118" t="n"/>
      <c r="H310" s="118" t="n"/>
    </row>
    <row r="311">
      <c r="A311" s="118" t="n"/>
      <c r="B311" s="118" t="n"/>
      <c r="C311" s="118" t="n"/>
      <c r="D311" s="118" t="n"/>
      <c r="E311" s="118" t="n"/>
      <c r="F311" s="118" t="n"/>
      <c r="G311" s="118" t="n"/>
      <c r="H311" s="118" t="n"/>
    </row>
    <row r="312">
      <c r="A312" s="118" t="n"/>
      <c r="B312" s="118" t="n"/>
      <c r="C312" s="118" t="n"/>
      <c r="D312" s="118" t="n"/>
      <c r="E312" s="118" t="n"/>
      <c r="F312" s="118" t="n"/>
      <c r="G312" s="118" t="n"/>
      <c r="H312" s="118" t="n"/>
    </row>
    <row r="313">
      <c r="A313" s="118" t="n"/>
      <c r="B313" s="118" t="n"/>
      <c r="C313" s="118" t="n"/>
      <c r="D313" s="118" t="n"/>
      <c r="E313" s="118" t="n"/>
      <c r="F313" s="118" t="n"/>
      <c r="G313" s="118" t="n"/>
      <c r="H313" s="118" t="n"/>
    </row>
    <row r="314">
      <c r="A314" s="118" t="n"/>
      <c r="B314" s="118" t="n"/>
      <c r="C314" s="118" t="n"/>
      <c r="D314" s="118" t="n"/>
      <c r="E314" s="118" t="n"/>
      <c r="F314" s="118" t="n"/>
      <c r="G314" s="118" t="n"/>
      <c r="H314" s="118" t="n"/>
    </row>
    <row r="315">
      <c r="A315" s="118" t="n"/>
      <c r="B315" s="118" t="n"/>
      <c r="C315" s="118" t="n"/>
      <c r="D315" s="118" t="n"/>
      <c r="E315" s="118" t="n"/>
      <c r="F315" s="118" t="n"/>
      <c r="G315" s="118" t="n"/>
      <c r="H315" s="118" t="n"/>
    </row>
  </sheetData>
  <sheetProtection selectLockedCells="0" selectUnlockedCells="0" sheet="1" objects="1" insertRows="1" insertHyperlinks="0" autoFilter="0" scenarios="0" formatColumns="0" deleteColumns="1" insertColumns="1" pivotTables="0" deleteRows="1" formatCells="0" formatRows="0" sort="0" password="EB4C"/>
  <mergeCells count="37">
    <mergeCell ref="E244:E245"/>
    <mergeCell ref="B16:C16"/>
    <mergeCell ref="E23:E26"/>
    <mergeCell ref="B25:C25"/>
    <mergeCell ref="B3:C3"/>
    <mergeCell ref="H23:H26"/>
    <mergeCell ref="J2:O3"/>
    <mergeCell ref="B6:C7"/>
    <mergeCell ref="G8:H8"/>
    <mergeCell ref="J4:O4"/>
    <mergeCell ref="D11:D14"/>
    <mergeCell ref="B18:C18"/>
    <mergeCell ref="G23:G26"/>
    <mergeCell ref="B12:C12"/>
    <mergeCell ref="B245:D245"/>
    <mergeCell ref="B2:C2"/>
    <mergeCell ref="H11:H14"/>
    <mergeCell ref="B17:C17"/>
    <mergeCell ref="B1:C1"/>
    <mergeCell ref="B8:C8"/>
    <mergeCell ref="F23:F26"/>
    <mergeCell ref="B13:C13"/>
    <mergeCell ref="J11:K11"/>
    <mergeCell ref="B19:C19"/>
    <mergeCell ref="B246:C246"/>
    <mergeCell ref="D6:H7"/>
    <mergeCell ref="E11:E14"/>
    <mergeCell ref="B9:C9"/>
    <mergeCell ref="F11:F14"/>
    <mergeCell ref="B24:C24"/>
    <mergeCell ref="D23:D26"/>
    <mergeCell ref="B15:C15"/>
    <mergeCell ref="Q11:R11"/>
    <mergeCell ref="B5:C5"/>
    <mergeCell ref="B20:C20"/>
    <mergeCell ref="G9:H9"/>
    <mergeCell ref="G11:G14"/>
  </mergeCells>
  <dataValidations count="9">
    <dataValidation sqref="E3" showDropDown="0" showInputMessage="0" showErrorMessage="1" allowBlank="0" errorTitle="Erreur" error="Devise non valide" type="list">
      <formula1>Sprachversionen!$A$1:$A$153</formula1>
    </dataValidation>
    <dataValidation sqref="E2" showDropDown="0" showInputMessage="0" showErrorMessage="1" allowBlank="0" errorTitle="Erreur" error="Langue non valide" type="list">
      <formula1>Sprachversionen!$B$1:$B$5</formula1>
    </dataValidation>
    <dataValidation sqref="D15 D16 D17 D18 D19 D28 D29 D30 D31 D32 D33 D34 D35 D36 D37 D38 D39 D40 D41 D42 D43 D44 D45 D46 D47 D48 D49 D50 D51 D52 D53 D54 D55 D56 D57 D58 D59 D60 D61 D62 D63 D64 D65 D66 D67 D70 D71 D72 D73 D74 D75 D76 D77 D78 D79 D80 D81 D82 D83 D84 D85 D86 D87 D88 D89 D90 D91 D92 D93 D94 D95 D96 D97 D98 D99 D100 D101 D102 D103 D104 D105 D106 D107 D108 D109 D112 D113 D114 D115 D116 D117 D118 D119 D120 D121 D122 D123 D124 D125 D126 D127 D128 D129 D130 D131 D132 D133 D134 D135 D136 D137 D138 D139 D140 D141 D142 D143 D144 D145 D146 D147 D148 D149 D150 D151 D154 D155 D156 D157 D158 D159 D160 D161 D162 D163 D164 D165 D166 D167 D168 D169 D170 D171 D172 D173 D174 D175 D176 D177 D178 D179 D180 D181 D182 D183 D184 D185 D186 D187 D188 D189 D190 D191 D192 D193 D196 D197 D198 D199 D200 D201 D202 D203 D204 D205 D206 D207 D208 D209 D210 D211 D212 D213 D214 D215 D216 D217 D218 D219 D220 D221 D222 D223 D224 D225 D226 D227 D228 D229 D230 D231 D232 D233 D234 D235 D237 D238 D239" showDropDown="0" showInputMessage="0" showErrorMessage="1" allowBlank="1" errorTitle="Eingabefehler" error="Veuillez saisir un maximum de 2 décimales." type="custom">
      <formula1>AND(ISNUMBER(INDIRECT(ADDRESS(ROW(),COLUMN()))), ABS(INDIRECT(ADDRESS(ROW(),COLUMN()))-ROUND(INDIRECT(ADDRESS(ROW(),COLUMN())),2))&lt;0.0001)</formula1>
    </dataValidation>
    <dataValidation sqref="E15 E16 E17 E18 E19 E28 E29 E30 E31 E32 E33 E34 E35 E36 E37 E38 E39 E40 E41 E42 E43 E44 E45 E46 E47 E48 E49 E50 E51 E52 E53 E54 E55 E56 E57 E58 E59 E60 E61 E62 E63 E64 E65 E66 E67 E70 E71 E72 E73 E74 E75 E76 E77 E78 E79 E80 E81 E82 E83 E84 E85 E86 E87 E88 E89 E90 E91 E92 E93 E94 E95 E96 E97 E98 E99 E100 E101 E102 E103 E104 E105 E106 E107 E108 E109 E112 E113 E114 E115 E116 E117 E118 E119 E120 E121 E122 E123 E124 E125 E126 E127 E128 E129 E130 E131 E132 E133 E134 E135 E136 E137 E138 E139 E140 E141 E142 E143 E144 E145 E146 E147 E148 E149 E150 E151 E154 E155 E156 E157 E158 E159 E160 E161 E162 E163 E164 E165 E166 E167 E168 E169 E170 E171 E172 E173 E174 E175 E176 E177 E178 E179 E180 E181 E182 E183 E184 E185 E186 E187 E188 E189 E190 E191 E192 E193 E196 E197 E198 E199 E200 E201 E202 E203 E204 E205 E206 E207 E208 E209 E210 E211 E212 E213 E214 E215 E216 E217 E218 E219 E220 E221 E222 E223 E224 E225 E226 E227 E228 E229 E230 E231 E232 E233 E234 E235 E237 E238 E239 E251 E252 E253" showDropDown="0" showInputMessage="0" showErrorMessage="1" allowBlank="1" errorTitle="Eingabefehler" error="Veuillez saisir un maximum de 2 décimales." type="custom">
      <formula1>AND(ISNUMBER(INDIRECT(ADDRESS(ROW(),COLUMN()))), ABS(INDIRECT(ADDRESS(ROW(),COLUMN()))-ROUND(INDIRECT(ADDRESS(ROW(),COLUMN())),2))&lt;0.0001)</formula1>
    </dataValidation>
    <dataValidation sqref="F15 F16 F17 F18 F19 F28 F29 F30 F31 F32 F33 F34 F35 F36 F37 F38 F39 F40 F41 F42 F43 F44 F45 F46 F47 F48 F49 F50 F51 F52 F53 F54 F55 F56 F57 F58 F59 F60 F61 F62 F63 F64 F65 F66 F67 F70 F71 F72 F73 F74 F75 F76 F77 F78 F79 F80 F81 F82 F83 F84 F85 F86 F87 F88 F89 F90 F91 F92 F93 F94 F95 F96 F97 F98 F99 F100 F101 F102 F103 F104 F105 F106 F107 F108 F109 F112 F113 F114 F115 F116 F117 F118 F119 F120 F121 F122 F123 F124 F125 F126 F127 F128 F129 F130 F131 F132 F133 F134 F135 F136 F137 F138 F139 F140 F141 F142 F143 F144 F145 F146 F147 F148 F149 F150 F151 F154 F155 F156 F157 F158 F159 F160 F161 F162 F163 F164 F165 F166 F167 F168 F169 F170 F171 F172 F173 F174 F175 F176 F177 F178 F179 F180 F181 F182 F183 F184 F185 F186 F187 F188 F189 F190 F191 F192 F193 F196 F197 F198 F199 F200 F201 F202 F203 F204 F205 F206 F207 F208 F209 F210 F211 F212 F213 F214 F215 F216 F217 F218 F219 F220 F221 F222 F223 F224 F225 F226 F227 F228 F229 F230 F231 F232 F233 F234 F235 F237 F238 F239" showDropDown="0" showInputMessage="0" showErrorMessage="1" allowBlank="1" errorTitle="Eingabefehler" error="Veuillez saisir un maximum de 2 décimales." type="custom">
      <formula1>AND(ISNUMBER(INDIRECT(ADDRESS(ROW(),COLUMN()))), ABS(INDIRECT(ADDRESS(ROW(),COLUMN()))-ROUND(INDIRECT(ADDRESS(ROW(),COLUMN())),2))&lt;0.0001)</formula1>
    </dataValidation>
    <dataValidation sqref="M14 M15 M16 M17 M18 M19 M20 M21 M22 M23 M24 M25 M26 M27 M28 M29 M30 M31" showDropDown="0" showInputMessage="0" showErrorMessage="1" allowBlank="1" errorTitle="Eingabefehler" error="Veuillez saisir un maximum de 2 décimales." type="custom">
      <formula1>AND(ISNUMBER(INDIRECT(ADDRESS(ROW(),COLUMN()))), ABS(INDIRECT(ADDRESS(ROW(),COLUMN()))-ROUND(INDIRECT(ADDRESS(ROW(),COLUMN())),2))&lt;0.0001)</formula1>
    </dataValidation>
    <dataValidation sqref="N14 N15 N16 N17 N18 N19 N20 N21 N22 N23 N24 N25 N26 N27 N28 N29 N30 N31" showDropDown="0" showInputMessage="0" showErrorMessage="1" allowBlank="1" errorTitle="Eingabefehler" error="Veuillez saisir un maximum de 2 décimales." type="custom">
      <formula1>AND(ISNUMBER(INDIRECT(ADDRESS(ROW(),COLUMN()))), ABS(INDIRECT(ADDRESS(ROW(),COLUMN()))-ROUND(INDIRECT(ADDRESS(ROW(),COLUMN())),2))&lt;0.0001)</formula1>
    </dataValidation>
    <dataValidation sqref="T14 T15 T16 T17 T18 T19 T20 T21 T22 T23 T24 T25 T26 T27 T28 T29 T30 T31" showDropDown="0" showInputMessage="0" showErrorMessage="1" allowBlank="1" errorTitle="Eingabefehler" error="Veuillez saisir un maximum de 2 décimales." type="custom">
      <formula1>AND(ISNUMBER(INDIRECT(ADDRESS(ROW(),COLUMN()))), ABS(INDIRECT(ADDRESS(ROW(),COLUMN()))-ROUND(INDIRECT(ADDRESS(ROW(),COLUMN())),2))&lt;0.0001)</formula1>
    </dataValidation>
    <dataValidation sqref="U14 U15 U16 U17 U18 U19 U20 U21 U22 U23 U24 U25 U26 U27 U28 U29 U30 U31" showDropDown="0" showInputMessage="0" showErrorMessage="1" allowBlank="1" errorTitle="Eingabefehler" error="Veuillez saisir un maximum de 2 décimales." type="custom">
      <formula1>AND(ISNUMBER(INDIRECT(ADDRESS(ROW(),COLUMN()))), ABS(INDIRECT(ADDRESS(ROW(),COLUMN()))-ROUND(INDIRECT(ADDRESS(ROW(),COLUMN())),2))&lt;0.0001)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153"/>
  <sheetViews>
    <sheetView workbookViewId="0">
      <selection activeCell="A1" sqref="A1"/>
    </sheetView>
  </sheetViews>
  <sheetFormatPr baseColWidth="8" defaultRowHeight="15"/>
  <sheetData>
    <row r="1">
      <c r="A1" t="inlineStr">
        <is>
          <t>AED</t>
        </is>
      </c>
      <c r="B1" t="inlineStr">
        <is>
          <t>deutsch</t>
        </is>
      </c>
      <c r="C1" t="inlineStr">
        <is>
          <t>F I N A N Z B E R I C H T</t>
        </is>
      </c>
      <c r="D1" t="inlineStr">
        <is>
          <t>ÜBERSICHT ÜBER EINNAHMEN UND AUSGABEN</t>
        </is>
      </c>
      <c r="E1" t="inlineStr">
        <is>
          <t>Projektnummer</t>
        </is>
      </c>
      <c r="F1" t="inlineStr">
        <is>
          <t>Projektlaufzeit</t>
        </is>
      </c>
      <c r="G1" t="inlineStr">
        <is>
          <t>Aktueller Berichtszeitraum</t>
        </is>
      </c>
      <c r="H1" t="inlineStr">
        <is>
          <t>von (TT MM JJJJ):</t>
        </is>
      </c>
      <c r="I1" t="inlineStr">
        <is>
          <t>bis (TT MM JJJJ):</t>
        </is>
      </c>
      <c r="J1" t="inlineStr">
        <is>
          <t>EINNAHMEN</t>
        </is>
      </c>
      <c r="K1" t="inlineStr">
        <is>
          <t>(in lokaler Währung)</t>
        </is>
      </c>
      <c r="L1" t="inlineStr">
        <is>
          <t>Bewilligtes Budget</t>
        </is>
      </c>
      <c r="M1" t="inlineStr">
        <is>
          <t>Einnahmen im Berichtszeitraum</t>
        </is>
      </c>
      <c r="N1" t="inlineStr">
        <is>
          <t>Einnahmen der gesamten Projektlaufzeit</t>
        </is>
      </c>
      <c r="O1" t="inlineStr">
        <is>
          <t>% erhaltene Einnahmen</t>
        </is>
      </c>
      <c r="P1" t="inlineStr">
        <is>
          <t>Begründung der Budgetüber- oder unterschreitung</t>
        </is>
      </c>
      <c r="Q1" t="inlineStr">
        <is>
          <t>Saldovortrag (aus vorherigem Berichtszeitraum)</t>
        </is>
      </c>
      <c r="R1" t="inlineStr">
        <is>
          <t>Lokale Eigenleistung</t>
        </is>
      </c>
      <c r="S1" t="inlineStr">
        <is>
          <t>Beiträge von dritter Seite</t>
        </is>
      </c>
      <c r="T1" t="inlineStr">
        <is>
          <t>KMW Mittel*</t>
        </is>
      </c>
      <c r="U1" t="inlineStr">
        <is>
          <t>Zinserträge</t>
        </is>
      </c>
      <c r="V1" t="inlineStr">
        <is>
          <t>GESAMT</t>
        </is>
      </c>
      <c r="W1" t="inlineStr">
        <is>
          <t>Datum</t>
        </is>
      </c>
      <c r="X1" t="inlineStr">
        <is>
          <t>Rate</t>
        </is>
      </c>
      <c r="Y1" t="inlineStr">
        <is>
          <t>AUSGABEN</t>
        </is>
      </c>
      <c r="Z1" t="inlineStr">
        <is>
          <t>Ausgaben im Berichtszeitraum</t>
        </is>
      </c>
      <c r="AA1" t="inlineStr">
        <is>
          <t>Projekttitel</t>
        </is>
      </c>
      <c r="AB1" t="inlineStr">
        <is>
          <t>Sprache</t>
        </is>
      </c>
      <c r="AC1" t="inlineStr">
        <is>
          <t>Lokalwährung</t>
        </is>
      </c>
      <c r="AD1" t="inlineStr">
        <is>
          <t>Bauausgaben</t>
        </is>
      </c>
      <c r="AE1" t="inlineStr">
        <is>
          <t xml:space="preserve">     Zwischensumme Bauausgaben</t>
        </is>
      </c>
      <c r="AF1" t="inlineStr">
        <is>
          <t>Einmalige Ausgaben (Investitionen)</t>
        </is>
      </c>
      <c r="AG1" t="inlineStr">
        <is>
          <t xml:space="preserve">     Zwischensumme Einmalige Ausgaben (Investitionen)</t>
        </is>
      </c>
      <c r="AH1" t="inlineStr">
        <is>
          <t>Personalkosten</t>
        </is>
      </c>
      <c r="AI1" t="inlineStr">
        <is>
          <t xml:space="preserve">     Zwischensumme Personalkosten</t>
        </is>
      </c>
      <c r="AJ1" t="inlineStr">
        <is>
          <t>Laufende Ausgaben für Projektaktivitäten</t>
        </is>
      </c>
      <c r="AK1" t="inlineStr">
        <is>
          <t xml:space="preserve">     Zwischensumme Laufende Ausgaben für Projektaktivitäten</t>
        </is>
      </c>
      <c r="AL1" t="inlineStr">
        <is>
          <t>Projektverwaltung</t>
        </is>
      </c>
      <c r="AM1" t="inlineStr">
        <is>
          <t xml:space="preserve">     Zwischensumme Projektverwaltung</t>
        </is>
      </c>
      <c r="AN1" t="inlineStr">
        <is>
          <t>Evaluierung</t>
        </is>
      </c>
      <c r="AO1" t="inlineStr">
        <is>
          <t>Audit</t>
        </is>
      </c>
      <c r="AP1" t="inlineStr">
        <is>
          <t>Reserve - nur nach Genehmigung</t>
        </is>
      </c>
      <c r="AQ1" t="inlineStr">
        <is>
          <t>Summe</t>
        </is>
      </c>
      <c r="AR1" t="inlineStr">
        <is>
          <t>ABSCHLUSS</t>
        </is>
      </c>
      <c r="AS1" t="inlineStr">
        <is>
          <t>Saldo für den Berichtszeitraum</t>
        </is>
      </c>
      <c r="AT1" t="inlineStr">
        <is>
          <t>Saldo (Einnahmen minus Ausgaben)</t>
        </is>
      </c>
      <c r="AU1" t="inlineStr">
        <is>
          <t>Saldenabstimmung:</t>
        </is>
      </c>
      <c r="AV1" t="inlineStr">
        <is>
          <t>Bank</t>
        </is>
      </c>
      <c r="AW1" t="inlineStr">
        <is>
          <t>Kasse</t>
        </is>
      </c>
      <c r="AX1" t="inlineStr">
        <is>
          <t>Sonstiges (noch nicht eingelöste Schecks, Vorschüsse, Darlehen, etc.)</t>
        </is>
      </c>
      <c r="AY1" t="inlineStr">
        <is>
          <t>Ich/Wir bestätige/n die Richtigkeit des vorliegenden Berichts unter Einhaltung des von beiden Partnern unterzeichneten Projektvertrages.</t>
        </is>
      </c>
      <c r="AZ1" t="inlineStr">
        <is>
          <t>Ort, Datum                  Unterschrift des Projektverantwortlichen</t>
        </is>
      </c>
      <c r="BA1" t="inlineStr">
        <is>
          <t>Unterschrift einer weiteren autorisierten Person</t>
        </is>
      </c>
      <c r="BB1" t="inlineStr">
        <is>
          <t xml:space="preserve">Funktion in der Organisation: </t>
        </is>
      </c>
      <c r="BC1" t="inlineStr">
        <is>
          <t xml:space="preserve">Ich/Wir bestätige/n, dass die lokale Eigenleistung monetär ist. </t>
        </is>
      </c>
      <c r="BD1" t="inlineStr">
        <is>
          <t>Ausgaben der gesamten Projektlaufzeit</t>
        </is>
      </c>
      <c r="BE1" t="inlineStr">
        <is>
          <t>% verwendetes Budget</t>
        </is>
      </c>
      <c r="BF1" t="inlineStr">
        <is>
          <t>Wechselkurs</t>
        </is>
      </c>
      <c r="BG1" t="inlineStr">
        <is>
          <t>WK</t>
        </is>
      </c>
      <c r="BH1" t="inlineStr">
        <is>
          <t>Ausfüllbare Felder sind in den Farben links</t>
        </is>
      </c>
      <c r="BI1" t="inlineStr">
        <is>
          <t>Tipp:</t>
        </is>
      </c>
      <c r="BJ1" t="inlineStr">
        <is>
          <t>Bitte nutzen Sie zum ausfüllen des Finanzberichts unsere Ausfüllhilfe auf unserer Webseite:</t>
        </is>
      </c>
      <c r="BK1" t="inlineStr">
        <is>
          <t>https://www.kindermissionswerk.org/fuer-partner/service</t>
        </is>
      </c>
    </row>
    <row r="2">
      <c r="A2" t="inlineStr">
        <is>
          <t>AFN</t>
        </is>
      </c>
      <c r="B2" t="inlineStr">
        <is>
          <t>english</t>
        </is>
      </c>
      <c r="C2" t="inlineStr">
        <is>
          <t xml:space="preserve">F I N A N C I A L  R E P O R T </t>
        </is>
      </c>
      <c r="D2" t="inlineStr">
        <is>
          <t>OVERVIEW - INCOME AND EXPENDITURE</t>
        </is>
      </c>
      <c r="E2" t="inlineStr">
        <is>
          <t>Project Number</t>
        </is>
      </c>
      <c r="F2" t="inlineStr">
        <is>
          <t>Project Duration</t>
        </is>
      </c>
      <c r="G2" t="inlineStr">
        <is>
          <t>Actual Reporting Period</t>
        </is>
      </c>
      <c r="H2" t="inlineStr">
        <is>
          <t>From (DD.MM.YYYY)</t>
        </is>
      </c>
      <c r="I2" t="inlineStr">
        <is>
          <t>To (DD.MM.YYYY)</t>
        </is>
      </c>
      <c r="J2" t="inlineStr">
        <is>
          <t>INCOME</t>
        </is>
      </c>
      <c r="K2" t="inlineStr">
        <is>
          <t>(In Local Currency)</t>
        </is>
      </c>
      <c r="L2" t="inlineStr">
        <is>
          <t>Approved Budget</t>
        </is>
      </c>
      <c r="M2" t="inlineStr">
        <is>
          <t>Income During Reporting Period</t>
        </is>
      </c>
      <c r="N2" t="inlineStr">
        <is>
          <t xml:space="preserve">Total project Income (Till date) </t>
        </is>
      </c>
      <c r="O2" t="inlineStr">
        <is>
          <t>% Income received</t>
        </is>
      </c>
      <c r="P2" t="inlineStr">
        <is>
          <t>Justification of budget surplus or deficit</t>
        </is>
      </c>
      <c r="Q2" t="inlineStr">
        <is>
          <t>Balance -  carried forward from previous reporting period</t>
        </is>
      </c>
      <c r="R2" t="inlineStr">
        <is>
          <t>Local Contribution</t>
        </is>
      </c>
      <c r="S2" t="inlineStr">
        <is>
          <t>Third Party Contribution</t>
        </is>
      </c>
      <c r="T2" t="inlineStr">
        <is>
          <t>KMW Funds*</t>
        </is>
      </c>
      <c r="U2" t="inlineStr">
        <is>
          <t>Interest gains</t>
        </is>
      </c>
      <c r="V2" t="inlineStr">
        <is>
          <t>Total</t>
        </is>
      </c>
      <c r="W2" t="inlineStr">
        <is>
          <t>Date</t>
        </is>
      </c>
      <c r="X2" t="inlineStr">
        <is>
          <t>Installment</t>
        </is>
      </c>
      <c r="Y2" t="inlineStr">
        <is>
          <t>EXPENSES</t>
        </is>
      </c>
      <c r="Z2" t="inlineStr">
        <is>
          <t>Expenses in Reporting Period</t>
        </is>
      </c>
      <c r="AA2" t="inlineStr">
        <is>
          <t>Project Title</t>
        </is>
      </c>
      <c r="AB2" t="inlineStr">
        <is>
          <t>Language</t>
        </is>
      </c>
      <c r="AC2" t="inlineStr">
        <is>
          <t>Local Currrency</t>
        </is>
      </c>
      <c r="AD2" t="inlineStr">
        <is>
          <t>Building Expenses</t>
        </is>
      </c>
      <c r="AE2" t="inlineStr">
        <is>
          <t>Subtotal Building Expenses</t>
        </is>
      </c>
      <c r="AF2" t="inlineStr">
        <is>
          <t>Non-Recurring Expenses (Investments)</t>
        </is>
      </c>
      <c r="AG2" t="inlineStr">
        <is>
          <t>Subtotal Non Recurring Expenses (Investments)</t>
        </is>
      </c>
      <c r="AH2" t="inlineStr">
        <is>
          <t>Personnel Expenses</t>
        </is>
      </c>
      <c r="AI2" t="inlineStr">
        <is>
          <t>Subtotal Personnel Expenses</t>
        </is>
      </c>
      <c r="AJ2" t="inlineStr">
        <is>
          <t>Ongoing Expenses for Project Activities</t>
        </is>
      </c>
      <c r="AK2" t="inlineStr">
        <is>
          <t>Subtotal Ongoing Expenses for Project Activities</t>
        </is>
      </c>
      <c r="AL2" t="inlineStr">
        <is>
          <t>Project Administration</t>
        </is>
      </c>
      <c r="AM2" t="inlineStr">
        <is>
          <t>Subtotal Project Administration</t>
        </is>
      </c>
      <c r="AN2" t="inlineStr">
        <is>
          <t>Evaluation</t>
        </is>
      </c>
      <c r="AO2" t="inlineStr">
        <is>
          <t>Audit</t>
        </is>
      </c>
      <c r="AP2" t="inlineStr">
        <is>
          <t>Contingency reserve - after authorisation only</t>
        </is>
      </c>
      <c r="AQ2" t="inlineStr">
        <is>
          <t>Total</t>
        </is>
      </c>
      <c r="AR2" t="inlineStr">
        <is>
          <t>Summary</t>
        </is>
      </c>
      <c r="AS2" t="inlineStr">
        <is>
          <t>Balance for the Reporting Period</t>
        </is>
      </c>
      <c r="AT2" t="inlineStr">
        <is>
          <t>Balance (Income Minus Expenses)</t>
        </is>
      </c>
      <c r="AU2" t="inlineStr">
        <is>
          <t>Balance Reconciliation</t>
        </is>
      </c>
      <c r="AV2" t="inlineStr">
        <is>
          <t>Bank</t>
        </is>
      </c>
      <c r="AW2" t="inlineStr">
        <is>
          <t>Cash</t>
        </is>
      </c>
      <c r="AX2" t="inlineStr">
        <is>
          <t>Others (Uncashed Cheque, advances, loans etc.)</t>
        </is>
      </c>
      <c r="AY2" t="inlineStr">
        <is>
          <t>I/We confirm the accuracy of this report in compliance with the project contract signed by both partners.</t>
        </is>
      </c>
      <c r="AZ2" t="inlineStr">
        <is>
          <t>Place, date Signature of the person responsible for the project</t>
        </is>
      </c>
      <c r="BA2" t="inlineStr">
        <is>
          <t>Signature of another authorized person</t>
        </is>
      </c>
      <c r="BB2" t="inlineStr">
        <is>
          <t>Function within the organization:</t>
        </is>
      </c>
      <c r="BC2" t="inlineStr">
        <is>
          <t xml:space="preserve">I/We confirm that the local contribution is monetary. </t>
        </is>
      </c>
      <c r="BD2" t="inlineStr">
        <is>
          <t>Total Project Expenditure</t>
        </is>
      </c>
      <c r="BE2" t="inlineStr">
        <is>
          <t>% Used Budget</t>
        </is>
      </c>
      <c r="BF2" t="inlineStr">
        <is>
          <t>Exchange Rate</t>
        </is>
      </c>
      <c r="BG2" t="inlineStr">
        <is>
          <t>ER</t>
        </is>
      </c>
      <c r="BH2" t="inlineStr">
        <is>
          <t>Fillable fields are in the colours on the left</t>
        </is>
      </c>
      <c r="BI2" t="inlineStr">
        <is>
          <t>Tip:</t>
        </is>
      </c>
      <c r="BJ2" t="inlineStr">
        <is>
          <t>Please use our completion guide on our website to fill out the financial report.</t>
        </is>
      </c>
      <c r="BK2" t="inlineStr">
        <is>
          <t>https://www.kindermissionswerk.org/en/partners/service</t>
        </is>
      </c>
    </row>
    <row r="3">
      <c r="A3" t="inlineStr">
        <is>
          <t>ALL</t>
        </is>
      </c>
      <c r="B3" t="inlineStr">
        <is>
          <t>français</t>
        </is>
      </c>
      <c r="C3" t="inlineStr">
        <is>
          <t>R A P P O R T   F I N A N C I E R</t>
        </is>
      </c>
      <c r="D3" t="inlineStr">
        <is>
          <t>APERÇU DES RECETTES ET DÉPENSES</t>
        </is>
      </c>
      <c r="E3" t="inlineStr">
        <is>
          <t>Numéro du projet</t>
        </is>
      </c>
      <c r="F3" t="inlineStr">
        <is>
          <t>Durée totale du projet</t>
        </is>
      </c>
      <c r="G3" t="inlineStr">
        <is>
          <t>Période actuelle couverte par le rapport</t>
        </is>
      </c>
      <c r="H3" t="inlineStr">
        <is>
          <t>de (JJ/MM/AAAA) :</t>
        </is>
      </c>
      <c r="I3" t="inlineStr">
        <is>
          <t>de (JJ/MM/AAAA) :</t>
        </is>
      </c>
      <c r="J3" t="inlineStr">
        <is>
          <t>RECETTES</t>
        </is>
      </c>
      <c r="K3" t="inlineStr">
        <is>
          <t>(en monnaie locale)</t>
        </is>
      </c>
      <c r="L3" t="inlineStr">
        <is>
          <t>Budget apprové</t>
        </is>
      </c>
      <c r="M3" t="inlineStr">
        <is>
          <t>Recettes pendant la période du rapport</t>
        </is>
      </c>
      <c r="N3" t="inlineStr">
        <is>
          <t>Cumul recettes sur toute la période</t>
        </is>
      </c>
      <c r="O3" t="inlineStr">
        <is>
          <t>% des recettes perçues</t>
        </is>
      </c>
      <c r="P3" t="inlineStr">
        <is>
          <t>Explication du dépassement de budget</t>
        </is>
      </c>
      <c r="Q3" t="inlineStr">
        <is>
          <t>Solde (de la période précédente)</t>
        </is>
      </c>
      <c r="R3" t="inlineStr">
        <is>
          <t>Apport local</t>
        </is>
      </c>
      <c r="S3" t="inlineStr">
        <is>
          <t>Contributions de tiers</t>
        </is>
      </c>
      <c r="T3" t="inlineStr">
        <is>
          <t>Fonds KMW*</t>
        </is>
      </c>
      <c r="U3" t="inlineStr">
        <is>
          <t>Intérêts bancaires</t>
        </is>
      </c>
      <c r="V3" t="inlineStr">
        <is>
          <t>TOTAL</t>
        </is>
      </c>
      <c r="W3" t="inlineStr">
        <is>
          <t>Date</t>
        </is>
      </c>
      <c r="X3" t="inlineStr">
        <is>
          <t>versement</t>
        </is>
      </c>
      <c r="Y3" t="inlineStr">
        <is>
          <t>DÉPENSES</t>
        </is>
      </c>
      <c r="Z3" t="inlineStr">
        <is>
          <t>Dépenses pendant la période du rapport</t>
        </is>
      </c>
      <c r="AA3" t="inlineStr">
        <is>
          <t>Titre du projet</t>
        </is>
      </c>
      <c r="AB3" t="inlineStr">
        <is>
          <t>Langue</t>
        </is>
      </c>
      <c r="AC3" t="inlineStr">
        <is>
          <t>Monnaie locale</t>
        </is>
      </c>
      <c r="AD3" t="inlineStr">
        <is>
          <t>Dépenses de construction</t>
        </is>
      </c>
      <c r="AE3" t="inlineStr">
        <is>
          <t xml:space="preserve">     Sous-total dépenses de construction</t>
        </is>
      </c>
      <c r="AF3" t="inlineStr">
        <is>
          <t>Dépenses uniques (investissements)</t>
        </is>
      </c>
      <c r="AG3" t="inlineStr">
        <is>
          <t xml:space="preserve">     Sous-total dépenses uniques (investissements)</t>
        </is>
      </c>
      <c r="AH3" t="inlineStr">
        <is>
          <t>Personnel</t>
        </is>
      </c>
      <c r="AI3" t="inlineStr">
        <is>
          <t>Sous-total personnel</t>
        </is>
      </c>
      <c r="AJ3" t="inlineStr">
        <is>
          <t>Dépenses courantes pour activités de projet</t>
        </is>
      </c>
      <c r="AK3" t="inlineStr">
        <is>
          <t xml:space="preserve">     Sous-total dépenses courantes pour activités de projet</t>
        </is>
      </c>
      <c r="AL3" t="inlineStr">
        <is>
          <t>Gestion de projet</t>
        </is>
      </c>
      <c r="AM3" t="inlineStr">
        <is>
          <t xml:space="preserve">     Sous-total gestion de projet</t>
        </is>
      </c>
      <c r="AN3" t="inlineStr">
        <is>
          <t>Evaluation</t>
        </is>
      </c>
      <c r="AO3" t="inlineStr">
        <is>
          <t>Audit</t>
        </is>
      </c>
      <c r="AP3" t="inlineStr">
        <is>
          <t>Réserve - uniquement après accord</t>
        </is>
      </c>
      <c r="AQ3" t="inlineStr">
        <is>
          <t>TOTAL</t>
        </is>
      </c>
      <c r="AR3" t="inlineStr">
        <is>
          <t>CLÔTURE DES COMPTES</t>
        </is>
      </c>
      <c r="AS3" t="inlineStr">
        <is>
          <t>Solde à la fin de la période du rapport</t>
        </is>
      </c>
      <c r="AT3" t="inlineStr">
        <is>
          <t>Solde (recettes moins dépenses)</t>
        </is>
      </c>
      <c r="AU3" t="inlineStr">
        <is>
          <t>Rapprochement des soldes :</t>
        </is>
      </c>
      <c r="AV3" t="inlineStr">
        <is>
          <t>Banque</t>
        </is>
      </c>
      <c r="AW3" t="inlineStr">
        <is>
          <t>Caisse</t>
        </is>
      </c>
      <c r="AX3" t="inlineStr">
        <is>
          <t>Divers (chèques non encaissés, avances, prêts, etc.)</t>
        </is>
      </c>
      <c r="AY3" t="inlineStr">
        <is>
          <t>Je confirme / Nous certifions que le présent rapport est exact et conforme au contrat de projet signé par les deux partenaires.</t>
        </is>
      </c>
      <c r="AZ3" t="inlineStr">
        <is>
          <t>Lieu, date                  Signature du responsable du projet</t>
        </is>
      </c>
      <c r="BA3" t="inlineStr">
        <is>
          <t>Signature d’une autre personne autorisée</t>
        </is>
      </c>
      <c r="BB3" t="inlineStr">
        <is>
          <t xml:space="preserve">Fonction au sein de l’organisation : </t>
        </is>
      </c>
      <c r="BC3" t="inlineStr">
        <is>
          <t>Je confirme / Nous confirmons que l'apport local est monétaire.</t>
        </is>
      </c>
      <c r="BD3" t="inlineStr">
        <is>
          <t>Cumul dépenses sur toute la période</t>
        </is>
      </c>
      <c r="BE3" t="inlineStr">
        <is>
          <t>% budget consommé</t>
        </is>
      </c>
      <c r="BF3" t="inlineStr">
        <is>
          <t>Taux de change</t>
        </is>
      </c>
      <c r="BG3" t="inlineStr">
        <is>
          <t>TC</t>
        </is>
      </c>
      <c r="BH3" t="inlineStr">
        <is>
          <t>Les champs remplissables sont dans les couleurs à gauche</t>
        </is>
      </c>
      <c r="BI3" t="inlineStr">
        <is>
          <t>Astuce :</t>
        </is>
      </c>
      <c r="BJ3" t="inlineStr">
        <is>
          <t>Veuillez utiliser notre aide à la saisie disponible sur notre site web pour remplir le rapport financier:</t>
        </is>
      </c>
      <c r="BK3" t="inlineStr">
        <is>
          <t>https://www.kindermissionswerk.org/fr/pour-les-partenaires/services</t>
        </is>
      </c>
    </row>
    <row r="4">
      <c r="A4" t="inlineStr">
        <is>
          <t>AMD</t>
        </is>
      </c>
      <c r="B4" t="inlineStr">
        <is>
          <t>español</t>
        </is>
      </c>
      <c r="C4" t="inlineStr">
        <is>
          <t>I N F O R M E  F I N A N C I E R O</t>
        </is>
      </c>
      <c r="D4" t="inlineStr">
        <is>
          <t>Resumen de los ingresos y egresos</t>
        </is>
      </c>
      <c r="E4" t="inlineStr">
        <is>
          <t>Número del proyecto</t>
        </is>
      </c>
      <c r="F4" t="inlineStr">
        <is>
          <t>Duración del proyecto</t>
        </is>
      </c>
      <c r="G4" t="inlineStr">
        <is>
          <t>Período de referencia</t>
        </is>
      </c>
      <c r="H4" t="inlineStr">
        <is>
          <t>de (DD MM AAAA):</t>
        </is>
      </c>
      <c r="I4" t="inlineStr">
        <is>
          <t>hasta (DD MM AAAA)</t>
        </is>
      </c>
      <c r="J4" t="inlineStr">
        <is>
          <t>Ingresos</t>
        </is>
      </c>
      <c r="K4" t="inlineStr">
        <is>
          <t>(en moneda local)</t>
        </is>
      </c>
      <c r="L4" t="inlineStr">
        <is>
          <t>Presupuesto aprobado</t>
        </is>
      </c>
      <c r="M4" t="inlineStr">
        <is>
          <t>Ingresos del período de referencia</t>
        </is>
      </c>
      <c r="N4" t="inlineStr">
        <is>
          <t>Ingresos acumulados (total desde el início)</t>
        </is>
      </c>
      <c r="O4" t="inlineStr">
        <is>
          <t>% Ingresos recibidos</t>
        </is>
      </c>
      <c r="P4" t="inlineStr">
        <is>
          <t>Justificación del superávit / déficit presupuestario</t>
        </is>
      </c>
      <c r="Q4" t="inlineStr">
        <is>
          <t>Saldo (procendente del período de referencia anterior)</t>
        </is>
      </c>
      <c r="R4" t="inlineStr">
        <is>
          <t>Aporte propio</t>
        </is>
      </c>
      <c r="S4" t="inlineStr">
        <is>
          <t>Aportes de terceros</t>
        </is>
      </c>
      <c r="T4" t="inlineStr">
        <is>
          <t>Fondos KMW *</t>
        </is>
      </c>
      <c r="U4" t="inlineStr">
        <is>
          <t>Intereses acreedores percibidos</t>
        </is>
      </c>
      <c r="V4" t="inlineStr">
        <is>
          <t>TOTAL</t>
        </is>
      </c>
      <c r="W4" t="inlineStr">
        <is>
          <t>Fecha</t>
        </is>
      </c>
      <c r="X4" t="inlineStr">
        <is>
          <t>Cuota</t>
        </is>
      </c>
      <c r="Y4" t="inlineStr">
        <is>
          <t>EGRESOS</t>
        </is>
      </c>
      <c r="Z4" t="inlineStr">
        <is>
          <t>Egresos del período de referencia</t>
        </is>
      </c>
      <c r="AA4" t="inlineStr">
        <is>
          <t>Título del proyecto</t>
        </is>
      </c>
      <c r="AB4" t="inlineStr">
        <is>
          <t>Idioma</t>
        </is>
      </c>
      <c r="AC4" t="inlineStr">
        <is>
          <t>Moneda local</t>
        </is>
      </c>
      <c r="AD4" t="inlineStr">
        <is>
          <t>Gastos de construcción</t>
        </is>
      </c>
      <c r="AE4" t="inlineStr">
        <is>
          <t>Subtotal gastos de construcción</t>
        </is>
      </c>
      <c r="AF4" t="inlineStr">
        <is>
          <t>Gastos extraordinarios (inversiones)</t>
        </is>
      </c>
      <c r="AG4" t="inlineStr">
        <is>
          <t xml:space="preserve">Subtotal gastos extraorinarios (inversiones) </t>
        </is>
      </c>
      <c r="AH4" t="inlineStr">
        <is>
          <t>Gastos de personal</t>
        </is>
      </c>
      <c r="AI4" t="inlineStr">
        <is>
          <t>Subtotal gastos de personal</t>
        </is>
      </c>
      <c r="AJ4" t="inlineStr">
        <is>
          <t>Gastos corrientes para actividades del proyecto</t>
        </is>
      </c>
      <c r="AK4" t="inlineStr">
        <is>
          <t>Subtotal gastos corrientes para actividades</t>
        </is>
      </c>
      <c r="AL4" t="inlineStr">
        <is>
          <t xml:space="preserve">Gastos administrativos del proyecto / Gestión del proyecto </t>
        </is>
      </c>
      <c r="AM4" t="inlineStr">
        <is>
          <t>Subtotal gastos administrativos del proyecto</t>
        </is>
      </c>
      <c r="AN4" t="inlineStr">
        <is>
          <t>Evaluación</t>
        </is>
      </c>
      <c r="AO4" t="inlineStr">
        <is>
          <t>Auditoría externa</t>
        </is>
      </c>
      <c r="AP4" t="inlineStr">
        <is>
          <t>Reserva - solo previa autorización</t>
        </is>
      </c>
      <c r="AQ4" t="inlineStr">
        <is>
          <t>Total</t>
        </is>
      </c>
      <c r="AR4" t="inlineStr">
        <is>
          <t>CIERRE DE CUENTAS</t>
        </is>
      </c>
      <c r="AS4" t="inlineStr">
        <is>
          <t>Saldo en el período de referencia</t>
        </is>
      </c>
      <c r="AT4" t="inlineStr">
        <is>
          <t>Saldo (ingresos menos egresos)</t>
        </is>
      </c>
      <c r="AU4" t="inlineStr">
        <is>
          <t xml:space="preserve">Conciliación de saldos </t>
        </is>
      </c>
      <c r="AV4" t="inlineStr">
        <is>
          <t>Banco</t>
        </is>
      </c>
      <c r="AW4" t="inlineStr">
        <is>
          <t>Caja</t>
        </is>
      </c>
      <c r="AX4" t="inlineStr">
        <is>
          <t>Otros (cheques aún no cobrados, anticipos, créditos, etc.)</t>
        </is>
      </c>
      <c r="AY4" t="inlineStr">
        <is>
          <t xml:space="preserve">Por la presente certifico/certificamos la corrección del presente informe, el cual cumple las disposiciones del contrato de proyecto </t>
        </is>
      </c>
      <c r="AZ4" t="inlineStr">
        <is>
          <t>Lugar, fecha, firma del resonsable de proyecto</t>
        </is>
      </c>
      <c r="BA4" t="inlineStr">
        <is>
          <t>Firma de otra persona autorizada</t>
        </is>
      </c>
      <c r="BB4" t="inlineStr">
        <is>
          <t xml:space="preserve">Cargo  o Función dentro de la organización: </t>
        </is>
      </c>
      <c r="BC4" t="inlineStr">
        <is>
          <t xml:space="preserve">Confirmo/confirmamos que el aporte propio es monetario </t>
        </is>
      </c>
      <c r="BD4" t="inlineStr">
        <is>
          <t>Egresos acumulados desde el início del proyecto</t>
        </is>
      </c>
      <c r="BE4" t="inlineStr">
        <is>
          <t xml:space="preserve">Ejecución presupuestaria (en %) </t>
        </is>
      </c>
      <c r="BF4" t="inlineStr">
        <is>
          <t>Tipo de cambio</t>
        </is>
      </c>
      <c r="BG4" t="inlineStr">
        <is>
          <t>TC</t>
        </is>
      </c>
      <c r="BH4" t="inlineStr">
        <is>
          <t>Los campos rellenables aparecen en los colores de la izquierda</t>
        </is>
      </c>
      <c r="BI4" t="inlineStr">
        <is>
          <t>Consejo:</t>
        </is>
      </c>
      <c r="BJ4" t="inlineStr">
        <is>
          <t>Por favor, utilice nuestra guía para completar el informe financiero, disponible en nuestro sitio web:</t>
        </is>
      </c>
      <c r="BK4" t="inlineStr">
        <is>
          <t>https://www.kindermissionswerk.org/es/para-contrapartes-de-proyectos/servicios</t>
        </is>
      </c>
    </row>
    <row r="5">
      <c r="A5" t="inlineStr">
        <is>
          <t>ANG</t>
        </is>
      </c>
      <c r="B5" t="inlineStr">
        <is>
          <t>português</t>
        </is>
      </c>
      <c r="C5" t="inlineStr">
        <is>
          <t>RELATÓRIO FINANCEIRO</t>
        </is>
      </c>
      <c r="D5" t="inlineStr">
        <is>
          <t>Resumo das receitas e despesas</t>
        </is>
      </c>
      <c r="E5" t="inlineStr">
        <is>
          <t xml:space="preserve">Número do projeto </t>
        </is>
      </c>
      <c r="F5" t="inlineStr">
        <is>
          <t>Duração do projeto</t>
        </is>
      </c>
      <c r="G5" t="inlineStr">
        <is>
          <t>Período de referência</t>
        </is>
      </c>
      <c r="H5" t="inlineStr">
        <is>
          <t>de (DD MM AAAA):</t>
        </is>
      </c>
      <c r="I5" t="inlineStr">
        <is>
          <t>até (DD MM AAAA):</t>
        </is>
      </c>
      <c r="J5" t="inlineStr">
        <is>
          <t>RECEITAS</t>
        </is>
      </c>
      <c r="K5" t="inlineStr">
        <is>
          <t>(em moeda local)</t>
        </is>
      </c>
      <c r="L5" t="inlineStr">
        <is>
          <t>Plano de custos e financiamento aprovado</t>
        </is>
      </c>
      <c r="M5" t="inlineStr">
        <is>
          <t>Receitas do período de referência</t>
        </is>
      </c>
      <c r="N5" t="inlineStr">
        <is>
          <t>Receitas cumuladas (total desde o início)</t>
        </is>
      </c>
      <c r="O5" t="inlineStr">
        <is>
          <t>% Reiceitas recebidas</t>
        </is>
      </c>
      <c r="P5" t="inlineStr">
        <is>
          <t>Justificação do superávit / déficit orçamentário</t>
        </is>
      </c>
      <c r="Q5" t="inlineStr">
        <is>
          <t>Saldo transportado (do período de referência anterior)</t>
        </is>
      </c>
      <c r="R5" t="inlineStr">
        <is>
          <t xml:space="preserve">Contribuição própria </t>
        </is>
      </c>
      <c r="S5" t="inlineStr">
        <is>
          <t>Contribuções de terceiros</t>
        </is>
      </c>
      <c r="T5" t="inlineStr">
        <is>
          <t>Subsídio KMW *</t>
        </is>
      </c>
      <c r="U5" t="inlineStr">
        <is>
          <t>Juros credores auferidos</t>
        </is>
      </c>
      <c r="V5" t="inlineStr">
        <is>
          <t>TOTAL</t>
        </is>
      </c>
      <c r="W5" t="inlineStr">
        <is>
          <t>Data</t>
        </is>
      </c>
      <c r="X5" t="inlineStr">
        <is>
          <t>transferência parcial</t>
        </is>
      </c>
      <c r="Y5" t="inlineStr">
        <is>
          <t>DESPESAS</t>
        </is>
      </c>
      <c r="Z5" t="inlineStr">
        <is>
          <t>Despesas do período de referência</t>
        </is>
      </c>
      <c r="AA5" t="inlineStr">
        <is>
          <t>Título do projeto</t>
        </is>
      </c>
      <c r="AB5" t="inlineStr">
        <is>
          <t>Idioma</t>
        </is>
      </c>
      <c r="AC5" t="inlineStr">
        <is>
          <t>Moeda local</t>
        </is>
      </c>
      <c r="AD5" t="inlineStr">
        <is>
          <t>Despesas de construção (civil)</t>
        </is>
      </c>
      <c r="AE5" t="inlineStr">
        <is>
          <t xml:space="preserve">Subtotal despesas de construção (civil) </t>
        </is>
      </c>
      <c r="AF5" t="inlineStr">
        <is>
          <t>Despesas únicas (investimentos)</t>
        </is>
      </c>
      <c r="AG5" t="inlineStr">
        <is>
          <t>Subtotal Despesas únicas (investimentos)</t>
        </is>
      </c>
      <c r="AH5" t="inlineStr">
        <is>
          <t>Despesas com pessoal / recursos humanos</t>
        </is>
      </c>
      <c r="AI5" t="inlineStr">
        <is>
          <t>Subtotal Despesas com pessoal / recursos humanos</t>
        </is>
      </c>
      <c r="AJ5" t="inlineStr">
        <is>
          <t>Custos de atividades de projeto</t>
        </is>
      </c>
      <c r="AK5" t="inlineStr">
        <is>
          <t>Subtotal Custos de atividades de projeto</t>
        </is>
      </c>
      <c r="AL5" t="inlineStr">
        <is>
          <t>Administração do projeto</t>
        </is>
      </c>
      <c r="AM5" t="inlineStr">
        <is>
          <t>Subtotal Administração do projeto</t>
        </is>
      </c>
      <c r="AN5" t="inlineStr">
        <is>
          <t>Avaliação</t>
        </is>
      </c>
      <c r="AO5" t="inlineStr">
        <is>
          <t>Auditoria externa</t>
        </is>
      </c>
      <c r="AP5" t="inlineStr">
        <is>
          <t>Reserva - somente após autorização</t>
        </is>
      </c>
      <c r="AQ5" t="inlineStr">
        <is>
          <t>Total</t>
        </is>
      </c>
      <c r="AR5" t="inlineStr">
        <is>
          <t>BALANÇO</t>
        </is>
      </c>
      <c r="AS5" t="inlineStr">
        <is>
          <t>Saldo do período de referência</t>
        </is>
      </c>
      <c r="AT5" t="inlineStr">
        <is>
          <t>Saldo (receitas menos despesas</t>
        </is>
      </c>
      <c r="AU5" t="inlineStr">
        <is>
          <t xml:space="preserve">Conciliação de saldo </t>
        </is>
      </c>
      <c r="AV5" t="inlineStr">
        <is>
          <t>Banco</t>
        </is>
      </c>
      <c r="AW5" t="inlineStr">
        <is>
          <t>Caixa</t>
        </is>
      </c>
      <c r="AX5" t="inlineStr">
        <is>
          <t>Outros (cheques não descontados, adiantamentos, empréstimos, etc.).</t>
        </is>
      </c>
      <c r="AY5" t="inlineStr">
        <is>
          <t>Declaro/declaramos a veracidade deste relatório em conformidade com o contrato firmado entre as partes.</t>
        </is>
      </c>
      <c r="AZ5" t="inlineStr">
        <is>
          <t>Local, data e assinatura do responsável do projeto</t>
        </is>
      </c>
      <c r="BA5" t="inlineStr">
        <is>
          <t>Assinatura de uma outra pessoa devidamente autorizada</t>
        </is>
      </c>
      <c r="BB5" t="inlineStr">
        <is>
          <t>Função / cargo na organização:</t>
        </is>
      </c>
      <c r="BC5" t="inlineStr">
        <is>
          <t xml:space="preserve">Confirmo/confirmamos que a contribuição prória é monetária </t>
        </is>
      </c>
      <c r="BD5" t="inlineStr">
        <is>
          <t xml:space="preserve">Despesas acumuladas desde o início de projeto </t>
        </is>
      </c>
      <c r="BE5" t="inlineStr">
        <is>
          <t>Execução orçamentária (em %)</t>
        </is>
      </c>
      <c r="BF5" t="inlineStr">
        <is>
          <t>Taxa de câmbio</t>
        </is>
      </c>
      <c r="BG5" t="inlineStr">
        <is>
          <t>TC</t>
        </is>
      </c>
      <c r="BH5" t="inlineStr">
        <is>
          <t>Os campos preenchíveis estão nas cores à esquerda</t>
        </is>
      </c>
      <c r="BI5" t="inlineStr">
        <is>
          <t>Dica:</t>
        </is>
      </c>
      <c r="BJ5" t="inlineStr">
        <is>
          <t>Por favor, utilize nosso guia de preenchimento disponível em nosso site para preencher o relatório financeiro:</t>
        </is>
      </c>
      <c r="BK5" t="inlineStr">
        <is>
          <t>https://www.kindermissionswerk.org/pt/para-os-parceiros/servico</t>
        </is>
      </c>
    </row>
    <row r="6">
      <c r="A6" t="inlineStr">
        <is>
          <t>AOA</t>
        </is>
      </c>
      <c r="C6">
        <f>COUNTA(C1:C5)</f>
        <v/>
      </c>
      <c r="D6">
        <f>COUNTA(D1:D5)</f>
        <v/>
      </c>
      <c r="E6">
        <f>COUNTA(E1:E5)</f>
        <v/>
      </c>
      <c r="F6">
        <f>COUNTA(F1:F5)</f>
        <v/>
      </c>
      <c r="G6">
        <f>COUNTA(G1:G5)</f>
        <v/>
      </c>
      <c r="H6">
        <f>COUNTA(H1:H5)</f>
        <v/>
      </c>
      <c r="I6">
        <f>COUNTA(I1:I5)</f>
        <v/>
      </c>
      <c r="J6">
        <f>COUNTA(J1:J5)</f>
        <v/>
      </c>
      <c r="K6">
        <f>COUNTA(K1:K5)</f>
        <v/>
      </c>
      <c r="L6">
        <f>COUNTA(L1:L5)</f>
        <v/>
      </c>
      <c r="M6">
        <f>COUNTA(M1:M5)</f>
        <v/>
      </c>
      <c r="N6">
        <f>COUNTA(N1:N5)</f>
        <v/>
      </c>
      <c r="O6">
        <f>COUNTA(O1:O5)</f>
        <v/>
      </c>
      <c r="P6">
        <f>COUNTA(P1:P5)</f>
        <v/>
      </c>
      <c r="Q6">
        <f>COUNTA(Q1:Q5)</f>
        <v/>
      </c>
      <c r="R6">
        <f>COUNTA(R1:R5)</f>
        <v/>
      </c>
      <c r="S6">
        <f>COUNTA(S1:S5)</f>
        <v/>
      </c>
      <c r="T6">
        <f>COUNTA(T1:T5)</f>
        <v/>
      </c>
      <c r="U6">
        <f>COUNTA(U1:U5)</f>
        <v/>
      </c>
      <c r="V6">
        <f>COUNTA(V1:V5)</f>
        <v/>
      </c>
      <c r="W6">
        <f>COUNTA(W1:W5)</f>
        <v/>
      </c>
      <c r="X6">
        <f>COUNTA(X1:X5)</f>
        <v/>
      </c>
      <c r="Y6">
        <f>COUNTA(Y1:Y5)</f>
        <v/>
      </c>
      <c r="Z6">
        <f>COUNTA(Z1:Z5)</f>
        <v/>
      </c>
      <c r="AA6">
        <f>COUNTA(AA1:AA5)</f>
        <v/>
      </c>
      <c r="AB6">
        <f>COUNTA(AB1:AB5)</f>
        <v/>
      </c>
      <c r="AC6">
        <f>COUNTA(AC1:AC5)</f>
        <v/>
      </c>
      <c r="AD6">
        <f>COUNTA(AD1:AD5)</f>
        <v/>
      </c>
      <c r="AE6">
        <f>COUNTA(AE1:AE5)</f>
        <v/>
      </c>
      <c r="AF6">
        <f>COUNTA(AF1:AF5)</f>
        <v/>
      </c>
      <c r="AG6">
        <f>COUNTA(AG1:AG5)</f>
        <v/>
      </c>
      <c r="AH6">
        <f>COUNTA(AH1:AH5)</f>
        <v/>
      </c>
      <c r="AI6">
        <f>COUNTA(AI1:AI5)</f>
        <v/>
      </c>
      <c r="AJ6">
        <f>COUNTA(AJ1:AJ5)</f>
        <v/>
      </c>
      <c r="AK6">
        <f>COUNTA(AK1:AK5)</f>
        <v/>
      </c>
      <c r="AL6">
        <f>COUNTA(AL1:AL5)</f>
        <v/>
      </c>
      <c r="AM6">
        <f>COUNTA(AM1:AM5)</f>
        <v/>
      </c>
      <c r="AN6">
        <f>COUNTA(AN1:AN5)</f>
        <v/>
      </c>
      <c r="AO6">
        <f>COUNTA(AO1:AO5)</f>
        <v/>
      </c>
      <c r="AP6">
        <f>COUNTA(AP1:AP5)</f>
        <v/>
      </c>
      <c r="AQ6">
        <f>COUNTA(AQ1:AQ5)</f>
        <v/>
      </c>
      <c r="AR6">
        <f>COUNTA(AR1:AR5)</f>
        <v/>
      </c>
      <c r="AS6">
        <f>COUNTA(AS1:AS5)</f>
        <v/>
      </c>
      <c r="AT6">
        <f>COUNTA(AT1:AT5)</f>
        <v/>
      </c>
      <c r="AU6">
        <f>COUNTA(AU1:AU5)</f>
        <v/>
      </c>
      <c r="AV6">
        <f>COUNTA(AV1:AV5)</f>
        <v/>
      </c>
      <c r="AW6">
        <f>COUNTA(AW1:AW5)</f>
        <v/>
      </c>
      <c r="AX6">
        <f>COUNTA(AX1:AX5)</f>
        <v/>
      </c>
      <c r="AY6">
        <f>COUNTA(AY1:AY5)</f>
        <v/>
      </c>
      <c r="AZ6">
        <f>COUNTA(AZ1:AZ5)</f>
        <v/>
      </c>
      <c r="BA6">
        <f>COUNTA(BA1:BA5)</f>
        <v/>
      </c>
      <c r="BB6">
        <f>COUNTA(BB1:BB5)</f>
        <v/>
      </c>
      <c r="BC6">
        <f>COUNTA(BC1:BC5)</f>
        <v/>
      </c>
      <c r="BD6">
        <f>COUNTA(BD1:BD5)</f>
        <v/>
      </c>
      <c r="BE6">
        <f>COUNTA(BE1:BE5)</f>
        <v/>
      </c>
    </row>
    <row r="7">
      <c r="A7" t="inlineStr">
        <is>
          <t>ARS</t>
        </is>
      </c>
    </row>
    <row r="8">
      <c r="A8" t="inlineStr">
        <is>
          <t>AUD</t>
        </is>
      </c>
    </row>
    <row r="9">
      <c r="A9" t="inlineStr">
        <is>
          <t>AWG</t>
        </is>
      </c>
    </row>
    <row r="10">
      <c r="A10" t="inlineStr">
        <is>
          <t>AZN</t>
        </is>
      </c>
    </row>
    <row r="11">
      <c r="A11" t="inlineStr">
        <is>
          <t>BAM</t>
        </is>
      </c>
    </row>
    <row r="12">
      <c r="A12" t="inlineStr">
        <is>
          <t>BBD</t>
        </is>
      </c>
    </row>
    <row r="13">
      <c r="A13" t="inlineStr">
        <is>
          <t>BDT</t>
        </is>
      </c>
    </row>
    <row r="14">
      <c r="A14" t="inlineStr">
        <is>
          <t>BGN</t>
        </is>
      </c>
    </row>
    <row r="15">
      <c r="A15" t="inlineStr">
        <is>
          <t>BHD</t>
        </is>
      </c>
    </row>
    <row r="16">
      <c r="A16" t="inlineStr">
        <is>
          <t>BIF</t>
        </is>
      </c>
    </row>
    <row r="17">
      <c r="A17" t="inlineStr">
        <is>
          <t>BMD</t>
        </is>
      </c>
    </row>
    <row r="18">
      <c r="A18" t="inlineStr">
        <is>
          <t>BND</t>
        </is>
      </c>
    </row>
    <row r="19">
      <c r="A19" t="inlineStr">
        <is>
          <t>BOB</t>
        </is>
      </c>
    </row>
    <row r="20">
      <c r="A20" t="inlineStr">
        <is>
          <t>BRL</t>
        </is>
      </c>
    </row>
    <row r="21">
      <c r="A21" t="inlineStr">
        <is>
          <t>BSD</t>
        </is>
      </c>
    </row>
    <row r="22">
      <c r="A22" t="inlineStr">
        <is>
          <t>BTN</t>
        </is>
      </c>
    </row>
    <row r="23">
      <c r="A23" t="inlineStr">
        <is>
          <t>BWP</t>
        </is>
      </c>
    </row>
    <row r="24">
      <c r="A24" t="inlineStr">
        <is>
          <t>BYN</t>
        </is>
      </c>
    </row>
    <row r="25">
      <c r="A25" t="inlineStr">
        <is>
          <t>BZD</t>
        </is>
      </c>
    </row>
    <row r="26">
      <c r="A26" t="inlineStr">
        <is>
          <t>CAD</t>
        </is>
      </c>
    </row>
    <row r="27">
      <c r="A27" t="inlineStr">
        <is>
          <t>CDF</t>
        </is>
      </c>
    </row>
    <row r="28">
      <c r="A28" t="inlineStr">
        <is>
          <t>CHF</t>
        </is>
      </c>
    </row>
    <row r="29">
      <c r="A29" t="inlineStr">
        <is>
          <t>CLP</t>
        </is>
      </c>
    </row>
    <row r="30">
      <c r="A30" t="inlineStr">
        <is>
          <t>CNY</t>
        </is>
      </c>
    </row>
    <row r="31">
      <c r="A31" t="inlineStr">
        <is>
          <t>COP</t>
        </is>
      </c>
    </row>
    <row r="32">
      <c r="A32" t="inlineStr">
        <is>
          <t>CRC</t>
        </is>
      </c>
    </row>
    <row r="33">
      <c r="A33" t="inlineStr">
        <is>
          <t>CUP</t>
        </is>
      </c>
    </row>
    <row r="34">
      <c r="A34" t="inlineStr">
        <is>
          <t>CVE</t>
        </is>
      </c>
    </row>
    <row r="35">
      <c r="A35" t="inlineStr">
        <is>
          <t>CZK</t>
        </is>
      </c>
    </row>
    <row r="36">
      <c r="A36" t="inlineStr">
        <is>
          <t>DJF</t>
        </is>
      </c>
    </row>
    <row r="37">
      <c r="A37" t="inlineStr">
        <is>
          <t>DKK</t>
        </is>
      </c>
    </row>
    <row r="38">
      <c r="A38" t="inlineStr">
        <is>
          <t>DOP</t>
        </is>
      </c>
    </row>
    <row r="39">
      <c r="A39" t="inlineStr">
        <is>
          <t>DZD</t>
        </is>
      </c>
    </row>
    <row r="40">
      <c r="A40" t="inlineStr">
        <is>
          <t>EGP</t>
        </is>
      </c>
    </row>
    <row r="41">
      <c r="A41" t="inlineStr">
        <is>
          <t>ERN</t>
        </is>
      </c>
    </row>
    <row r="42">
      <c r="A42" t="inlineStr">
        <is>
          <t>ETB</t>
        </is>
      </c>
    </row>
    <row r="43">
      <c r="A43" t="inlineStr">
        <is>
          <t>EUR</t>
        </is>
      </c>
    </row>
    <row r="44">
      <c r="A44" t="inlineStr">
        <is>
          <t>FJD</t>
        </is>
      </c>
    </row>
    <row r="45">
      <c r="A45" t="inlineStr">
        <is>
          <t>FKP</t>
        </is>
      </c>
    </row>
    <row r="46">
      <c r="A46" t="inlineStr">
        <is>
          <t>GBP</t>
        </is>
      </c>
    </row>
    <row r="47">
      <c r="A47" t="inlineStr">
        <is>
          <t>GEL</t>
        </is>
      </c>
    </row>
    <row r="48">
      <c r="A48" t="inlineStr">
        <is>
          <t>GHS</t>
        </is>
      </c>
    </row>
    <row r="49">
      <c r="A49" t="inlineStr">
        <is>
          <t>GIP</t>
        </is>
      </c>
    </row>
    <row r="50">
      <c r="A50" t="inlineStr">
        <is>
          <t>GMD</t>
        </is>
      </c>
    </row>
    <row r="51">
      <c r="A51" t="inlineStr">
        <is>
          <t>GNF</t>
        </is>
      </c>
    </row>
    <row r="52">
      <c r="A52" t="inlineStr">
        <is>
          <t>GTQ</t>
        </is>
      </c>
    </row>
    <row r="53">
      <c r="A53" t="inlineStr">
        <is>
          <t>GYD</t>
        </is>
      </c>
    </row>
    <row r="54">
      <c r="A54" t="inlineStr">
        <is>
          <t>HKD</t>
        </is>
      </c>
    </row>
    <row r="55">
      <c r="A55" t="inlineStr">
        <is>
          <t>HNL</t>
        </is>
      </c>
    </row>
    <row r="56">
      <c r="A56" t="inlineStr">
        <is>
          <t>HTG</t>
        </is>
      </c>
    </row>
    <row r="57">
      <c r="A57" t="inlineStr">
        <is>
          <t>HUF</t>
        </is>
      </c>
    </row>
    <row r="58">
      <c r="A58" t="inlineStr">
        <is>
          <t>IDR</t>
        </is>
      </c>
    </row>
    <row r="59">
      <c r="A59" t="inlineStr">
        <is>
          <t>ILS</t>
        </is>
      </c>
    </row>
    <row r="60">
      <c r="A60" t="inlineStr">
        <is>
          <t>INR</t>
        </is>
      </c>
    </row>
    <row r="61">
      <c r="A61" t="inlineStr">
        <is>
          <t>IQD</t>
        </is>
      </c>
    </row>
    <row r="62">
      <c r="A62" t="inlineStr">
        <is>
          <t>IRR</t>
        </is>
      </c>
    </row>
    <row r="63">
      <c r="A63" t="inlineStr">
        <is>
          <t>ISK</t>
        </is>
      </c>
    </row>
    <row r="64">
      <c r="A64" t="inlineStr">
        <is>
          <t>JMD</t>
        </is>
      </c>
    </row>
    <row r="65">
      <c r="A65" t="inlineStr">
        <is>
          <t>JOD</t>
        </is>
      </c>
    </row>
    <row r="66">
      <c r="A66" t="inlineStr">
        <is>
          <t>JPY</t>
        </is>
      </c>
    </row>
    <row r="67">
      <c r="A67" t="inlineStr">
        <is>
          <t>KES</t>
        </is>
      </c>
    </row>
    <row r="68">
      <c r="A68" t="inlineStr">
        <is>
          <t>KGS</t>
        </is>
      </c>
    </row>
    <row r="69">
      <c r="A69" t="inlineStr">
        <is>
          <t>KHR</t>
        </is>
      </c>
    </row>
    <row r="70">
      <c r="A70" t="inlineStr">
        <is>
          <t>KMF</t>
        </is>
      </c>
    </row>
    <row r="71">
      <c r="A71" t="inlineStr">
        <is>
          <t>KRW</t>
        </is>
      </c>
    </row>
    <row r="72">
      <c r="A72" t="inlineStr">
        <is>
          <t>KWD</t>
        </is>
      </c>
    </row>
    <row r="73">
      <c r="A73" t="inlineStr">
        <is>
          <t>KYD</t>
        </is>
      </c>
    </row>
    <row r="74">
      <c r="A74" t="inlineStr">
        <is>
          <t>KZT</t>
        </is>
      </c>
    </row>
    <row r="75">
      <c r="A75" t="inlineStr">
        <is>
          <t>LAK</t>
        </is>
      </c>
    </row>
    <row r="76">
      <c r="A76" t="inlineStr">
        <is>
          <t>LBP</t>
        </is>
      </c>
    </row>
    <row r="77">
      <c r="A77" t="inlineStr">
        <is>
          <t>LKR</t>
        </is>
      </c>
    </row>
    <row r="78">
      <c r="A78" t="inlineStr">
        <is>
          <t>LRD</t>
        </is>
      </c>
    </row>
    <row r="79">
      <c r="A79" t="inlineStr">
        <is>
          <t>LSL</t>
        </is>
      </c>
    </row>
    <row r="80">
      <c r="A80" t="inlineStr">
        <is>
          <t>LYD</t>
        </is>
      </c>
    </row>
    <row r="81">
      <c r="A81" t="inlineStr">
        <is>
          <t>MAD</t>
        </is>
      </c>
    </row>
    <row r="82">
      <c r="A82" t="inlineStr">
        <is>
          <t>MDL</t>
        </is>
      </c>
    </row>
    <row r="83">
      <c r="A83" t="inlineStr">
        <is>
          <t>MGA</t>
        </is>
      </c>
    </row>
    <row r="84">
      <c r="A84" t="inlineStr">
        <is>
          <t>MKD</t>
        </is>
      </c>
    </row>
    <row r="85">
      <c r="A85" t="inlineStr">
        <is>
          <t>MMK</t>
        </is>
      </c>
    </row>
    <row r="86">
      <c r="A86" t="inlineStr">
        <is>
          <t>MNT</t>
        </is>
      </c>
    </row>
    <row r="87">
      <c r="A87" t="inlineStr">
        <is>
          <t>MOP</t>
        </is>
      </c>
    </row>
    <row r="88">
      <c r="A88" t="inlineStr">
        <is>
          <t>MRU</t>
        </is>
      </c>
    </row>
    <row r="89">
      <c r="A89" t="inlineStr">
        <is>
          <t>MUR</t>
        </is>
      </c>
    </row>
    <row r="90">
      <c r="A90" t="inlineStr">
        <is>
          <t>MVR</t>
        </is>
      </c>
    </row>
    <row r="91">
      <c r="A91" t="inlineStr">
        <is>
          <t>MWK</t>
        </is>
      </c>
    </row>
    <row r="92">
      <c r="A92" t="inlineStr">
        <is>
          <t>MXN</t>
        </is>
      </c>
    </row>
    <row r="93">
      <c r="A93" t="inlineStr">
        <is>
          <t>MYR</t>
        </is>
      </c>
    </row>
    <row r="94">
      <c r="A94" t="inlineStr">
        <is>
          <t>MZN</t>
        </is>
      </c>
    </row>
    <row r="95">
      <c r="A95" t="inlineStr">
        <is>
          <t>NAD</t>
        </is>
      </c>
    </row>
    <row r="96">
      <c r="A96" t="inlineStr">
        <is>
          <t>NGN</t>
        </is>
      </c>
    </row>
    <row r="97">
      <c r="A97" t="inlineStr">
        <is>
          <t>NIO</t>
        </is>
      </c>
    </row>
    <row r="98">
      <c r="A98" t="inlineStr">
        <is>
          <t>NOK</t>
        </is>
      </c>
    </row>
    <row r="99">
      <c r="A99" t="inlineStr">
        <is>
          <t>NPR</t>
        </is>
      </c>
    </row>
    <row r="100">
      <c r="A100" t="inlineStr">
        <is>
          <t>NZD</t>
        </is>
      </c>
    </row>
    <row r="101">
      <c r="A101" t="inlineStr">
        <is>
          <t>OMR</t>
        </is>
      </c>
    </row>
    <row r="102">
      <c r="A102" t="inlineStr">
        <is>
          <t>PAB</t>
        </is>
      </c>
    </row>
    <row r="103">
      <c r="A103" t="inlineStr">
        <is>
          <t>PEN</t>
        </is>
      </c>
    </row>
    <row r="104">
      <c r="A104" t="inlineStr">
        <is>
          <t>PGK</t>
        </is>
      </c>
    </row>
    <row r="105">
      <c r="A105" t="inlineStr">
        <is>
          <t>PHP</t>
        </is>
      </c>
    </row>
    <row r="106">
      <c r="A106" t="inlineStr">
        <is>
          <t>PKR</t>
        </is>
      </c>
    </row>
    <row r="107">
      <c r="A107" t="inlineStr">
        <is>
          <t>PLN</t>
        </is>
      </c>
    </row>
    <row r="108">
      <c r="A108" t="inlineStr">
        <is>
          <t>PYG</t>
        </is>
      </c>
    </row>
    <row r="109">
      <c r="A109" t="inlineStr">
        <is>
          <t>QAR</t>
        </is>
      </c>
    </row>
    <row r="110">
      <c r="A110" t="inlineStr">
        <is>
          <t>RON</t>
        </is>
      </c>
    </row>
    <row r="111">
      <c r="A111" t="inlineStr">
        <is>
          <t>RSD</t>
        </is>
      </c>
    </row>
    <row r="112">
      <c r="A112" t="inlineStr">
        <is>
          <t>RUB</t>
        </is>
      </c>
    </row>
    <row r="113">
      <c r="A113" t="inlineStr">
        <is>
          <t>RWF</t>
        </is>
      </c>
    </row>
    <row r="114">
      <c r="A114" t="inlineStr">
        <is>
          <t>SAR</t>
        </is>
      </c>
    </row>
    <row r="115">
      <c r="A115" t="inlineStr">
        <is>
          <t>SBD</t>
        </is>
      </c>
    </row>
    <row r="116">
      <c r="A116" t="inlineStr">
        <is>
          <t>SCR</t>
        </is>
      </c>
    </row>
    <row r="117">
      <c r="A117" t="inlineStr">
        <is>
          <t>SDG</t>
        </is>
      </c>
    </row>
    <row r="118">
      <c r="A118" t="inlineStr">
        <is>
          <t>SEK</t>
        </is>
      </c>
    </row>
    <row r="119">
      <c r="A119" t="inlineStr">
        <is>
          <t>SGD</t>
        </is>
      </c>
    </row>
    <row r="120">
      <c r="A120" t="inlineStr">
        <is>
          <t>SHP</t>
        </is>
      </c>
    </row>
    <row r="121">
      <c r="A121" t="inlineStr">
        <is>
          <t>SLE</t>
        </is>
      </c>
    </row>
    <row r="122">
      <c r="A122" t="inlineStr">
        <is>
          <t>SOS</t>
        </is>
      </c>
    </row>
    <row r="123">
      <c r="A123" t="inlineStr">
        <is>
          <t>SRD</t>
        </is>
      </c>
    </row>
    <row r="124">
      <c r="A124" t="inlineStr">
        <is>
          <t>SSP</t>
        </is>
      </c>
    </row>
    <row r="125">
      <c r="A125" t="inlineStr">
        <is>
          <t>STN</t>
        </is>
      </c>
    </row>
    <row r="126">
      <c r="A126" t="inlineStr">
        <is>
          <t>SYP</t>
        </is>
      </c>
    </row>
    <row r="127">
      <c r="A127" t="inlineStr">
        <is>
          <t>SZL</t>
        </is>
      </c>
    </row>
    <row r="128">
      <c r="A128" t="inlineStr">
        <is>
          <t>THB</t>
        </is>
      </c>
    </row>
    <row r="129">
      <c r="A129" t="inlineStr">
        <is>
          <t>TJS</t>
        </is>
      </c>
    </row>
    <row r="130">
      <c r="A130" t="inlineStr">
        <is>
          <t>TMT</t>
        </is>
      </c>
    </row>
    <row r="131">
      <c r="A131" t="inlineStr">
        <is>
          <t>TND</t>
        </is>
      </c>
    </row>
    <row r="132">
      <c r="A132" t="inlineStr">
        <is>
          <t>TOP</t>
        </is>
      </c>
    </row>
    <row r="133">
      <c r="A133" t="inlineStr">
        <is>
          <t>TRY</t>
        </is>
      </c>
    </row>
    <row r="134">
      <c r="A134" t="inlineStr">
        <is>
          <t>TTD</t>
        </is>
      </c>
    </row>
    <row r="135">
      <c r="A135" t="inlineStr">
        <is>
          <t>TWD</t>
        </is>
      </c>
    </row>
    <row r="136">
      <c r="A136" t="inlineStr">
        <is>
          <t>TZS</t>
        </is>
      </c>
    </row>
    <row r="137">
      <c r="A137" t="inlineStr">
        <is>
          <t>UAH</t>
        </is>
      </c>
    </row>
    <row r="138">
      <c r="A138" t="inlineStr">
        <is>
          <t>UGX</t>
        </is>
      </c>
    </row>
    <row r="139">
      <c r="A139" t="inlineStr">
        <is>
          <t>USD</t>
        </is>
      </c>
    </row>
    <row r="140">
      <c r="A140" t="inlineStr">
        <is>
          <t>UYU</t>
        </is>
      </c>
    </row>
    <row r="141">
      <c r="A141" t="inlineStr">
        <is>
          <t>UZS</t>
        </is>
      </c>
    </row>
    <row r="142">
      <c r="A142" t="inlineStr">
        <is>
          <t>VES</t>
        </is>
      </c>
    </row>
    <row r="143">
      <c r="A143" t="inlineStr">
        <is>
          <t>VND</t>
        </is>
      </c>
    </row>
    <row r="144">
      <c r="A144" t="inlineStr">
        <is>
          <t>VUV</t>
        </is>
      </c>
    </row>
    <row r="145">
      <c r="A145" t="inlineStr">
        <is>
          <t>WST</t>
        </is>
      </c>
    </row>
    <row r="146">
      <c r="A146" t="inlineStr">
        <is>
          <t>XAF</t>
        </is>
      </c>
    </row>
    <row r="147">
      <c r="A147" t="inlineStr">
        <is>
          <t>XCD</t>
        </is>
      </c>
    </row>
    <row r="148">
      <c r="A148" t="inlineStr">
        <is>
          <t>XOF</t>
        </is>
      </c>
    </row>
    <row r="149">
      <c r="A149" t="inlineStr">
        <is>
          <t>XPF</t>
        </is>
      </c>
    </row>
    <row r="150">
      <c r="A150" t="inlineStr">
        <is>
          <t>YER</t>
        </is>
      </c>
    </row>
    <row r="151">
      <c r="A151" t="inlineStr">
        <is>
          <t>ZAR</t>
        </is>
      </c>
    </row>
    <row r="152">
      <c r="A152" t="inlineStr">
        <is>
          <t>ZMW</t>
        </is>
      </c>
    </row>
    <row r="153">
      <c r="A153" t="inlineStr">
        <is>
          <t>ZWL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2025-12-13T06:57:01Z</dcterms:created>
  <dcterms:modified xsi:type="dcterms:W3CDTF">2025-12-13T06:57:04Z</dcterms:modified>
</cp:coreProperties>
</file>