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Finanzbericht" sheetId="2" r:id="rId2"/>
  </sheets>
  <calcPr calcId="124519" fullCalcOnLoad="1"/>
</workbook>
</file>

<file path=xl/sharedStrings.xml><?xml version="1.0" encoding="utf-8"?>
<sst xmlns="http://schemas.openxmlformats.org/spreadsheetml/2006/main" count="467" uniqueCount="448">
  <si>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</si>
  <si>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</si>
  <si>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</si>
  <si>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</si>
  <si>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</si>
  <si>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</si>
  <si>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</si>
  <si>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</si>
  <si>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</si>
  <si>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</si>
  <si>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</si>
  <si>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</si>
  <si>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</si>
  <si>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</si>
  <si>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</si>
  <si>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</si>
  <si>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</si>
  <si>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</si>
  <si>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</si>
  <si>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</si>
  <si>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</si>
  <si>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</si>
  <si>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</si>
  <si>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</si>
  <si>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</si>
  <si>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</si>
  <si>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</si>
  <si>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</si>
  <si>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</si>
  <si>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</si>
  <si>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</si>
  <si>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</si>
  <si>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</si>
  <si>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</si>
  <si>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</si>
  <si>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</si>
  <si>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</si>
  <si>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</si>
  <si>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</si>
  <si>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</si>
  <si>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</si>
  <si>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</si>
  <si>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</si>
  <si>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</si>
  <si>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</si>
  <si>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</si>
  <si>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</si>
  <si>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</si>
  <si>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</si>
  <si>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</si>
  <si>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</si>
  <si>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</si>
  <si>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</si>
  <si>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</si>
  <si>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</si>
  <si>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</si>
  <si>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</si>
  <si>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</si>
  <si>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</si>
  <si>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</si>
  <si>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</si>
  <si>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</si>
  <si>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</si>
  <si>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</si>
  <si>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</si>
  <si>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</si>
  <si>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</si>
  <si>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</si>
  <si>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</si>
  <si>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</si>
  <si>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</si>
  <si>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</si>
  <si>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</si>
  <si>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</si>
  <si>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</si>
  <si>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</si>
  <si>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</si>
  <si>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</si>
  <si>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</si>
  <si>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</si>
  <si>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</si>
  <si>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</si>
  <si>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</si>
  <si>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</si>
  <si>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</si>
  <si>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</si>
  <si>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</si>
  <si>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</si>
  <si>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</si>
  <si>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</si>
  <si>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</si>
  <si>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</si>
  <si>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</si>
  <si>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</si>
  <si>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</si>
  <si>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</si>
  <si>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</si>
  <si>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</si>
  <si>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</si>
  <si>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</si>
  <si>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</si>
  <si>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</si>
  <si>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</si>
  <si>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</si>
  <si>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</si>
  <si>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</si>
  <si>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</si>
  <si>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</si>
  <si>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</si>
  <si>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</si>
  <si>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</si>
  <si>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</si>
  <si>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</si>
  <si>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</si>
  <si>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</si>
  <si>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</si>
  <si>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</si>
  <si>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</si>
  <si>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</si>
  <si>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</si>
  <si>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</si>
  <si>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</si>
  <si>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</si>
  <si>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</si>
  <si>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</si>
  <si>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</si>
  <si>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</si>
  <si>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</si>
  <si>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</si>
  <si>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</si>
  <si>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</si>
  <si>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</si>
  <si>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</si>
  <si>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</si>
  <si>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</si>
  <si>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</si>
  <si>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</si>
  <si>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</si>
  <si>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</si>
  <si>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</si>
  <si>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</si>
  <si>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</si>
  <si>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</si>
  <si>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</si>
  <si>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</si>
  <si>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</si>
  <si>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</si>
  <si>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</si>
  <si>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</si>
  <si>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</si>
  <si>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</si>
  <si>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</si>
  <si>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</si>
  <si>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</si>
  <si>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</si>
  <si>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</si>
  <si>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</si>
  <si>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</si>
  <si>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</si>
  <si>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</si>
  <si>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</si>
  <si>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</si>
  <si>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</si>
  <si>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</si>
  <si>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</si>
  <si>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</si>
  <si>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</si>
  <si>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</si>
  <si>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</si>
  <si>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</si>
  <si>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</si>
  <si>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</si>
  <si>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</si>
  <si>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</si>
  <si>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</si>
  <si>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</si>
  <si>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</si>
  <si>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</si>
  <si>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</si>
  <si>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</si>
  <si>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</si>
  <si>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</si>
  <si>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</si>
  <si>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</si>
  <si>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</si>
  <si>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</si>
  <si>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</si>
  <si>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</si>
  <si>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</si>
  <si>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</si>
  <si>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</si>
  <si>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</si>
  <si>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</si>
  <si>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</si>
  <si>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</si>
  <si>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</si>
  <si>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</si>
  <si>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</si>
  <si>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</si>
  <si>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</si>
  <si>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</si>
  <si>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</si>
  <si>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</si>
  <si>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</si>
  <si>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</si>
  <si>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</si>
  <si>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</si>
  <si>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</si>
  <si>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</si>
  <si>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</si>
  <si>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</si>
  <si>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</si>
  <si>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</si>
  <si>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</si>
  <si>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</si>
  <si>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</si>
  <si>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</si>
  <si>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</si>
  <si>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</si>
  <si>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</si>
  <si>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</si>
  <si>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</si>
  <si>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</si>
  <si>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</si>
  <si>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</si>
  <si>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</si>
  <si>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</si>
  <si>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</si>
  <si>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</si>
  <si>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</si>
  <si>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</si>
  <si>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</si>
  <si>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</si>
  <si>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</si>
  <si>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</si>
  <si>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</si>
  <si>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</si>
  <si>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</si>
  <si>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</si>
  <si>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</si>
  <si>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</si>
  <si>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</si>
  <si>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</si>
  <si>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</si>
  <si>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</si>
  <si>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</si>
  <si>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</si>
  <si>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</si>
  <si>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</si>
  <si>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</si>
  <si>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</si>
  <si>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</si>
  <si>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</si>
  <si>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</si>
  <si>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</si>
  <si>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</si>
  <si>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</si>
  <si>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</si>
  <si>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</si>
  <si>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</si>
  <si>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</si>
  <si>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</si>
  <si>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</si>
  <si>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</si>
  <si>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</si>
  <si>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</si>
  <si>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</si>
  <si>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</si>
  <si>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</si>
  <si>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</si>
  <si>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</si>
  <si>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</si>
  <si>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</si>
  <si>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</si>
  <si>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</si>
  <si>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</si>
  <si>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</si>
  <si>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</si>
  <si>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</si>
  <si>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</si>
  <si>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</si>
  <si>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</si>
  <si>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</si>
  <si>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</si>
  <si>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</si>
  <si>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</si>
  <si>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</si>
  <si>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</si>
  <si>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</si>
  <si>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</si>
  <si>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</si>
  <si>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</si>
  <si>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</si>
  <si>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</si>
  <si>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</si>
  <si>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</si>
  <si>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</si>
  <si>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</si>
  <si>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</si>
  <si>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</si>
  <si>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</si>
  <si>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</si>
  <si>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</si>
  <si>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</si>
  <si>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</si>
  <si>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</si>
  <si>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</si>
  <si>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</si>
  <si>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</si>
  <si>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</si>
  <si>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</si>
  <si>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</si>
  <si>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</si>
  <si>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</si>
  <si>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</si>
  <si>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</si>
  <si>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</si>
  <si>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</si>
  <si>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</si>
  <si>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</si>
  <si>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</si>
  <si>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</si>
  <si>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</si>
  <si>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</si>
  <si>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</si>
  <si>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</si>
  <si>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</si>
  <si>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</si>
  <si>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</si>
  <si>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</si>
  <si>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</si>
  <si>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</si>
  <si>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</si>
  <si>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</si>
  <si>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</si>
  <si>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</si>
  <si>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</si>
  <si>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</si>
  <si>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</si>
  <si>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</si>
  <si>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</si>
  <si>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</si>
  <si>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</si>
  <si>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</si>
  <si>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</si>
  <si>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</si>
  <si>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</si>
  <si>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</si>
  <si>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</si>
  <si>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</si>
  <si>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</si>
  <si>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</si>
  <si>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</si>
  <si>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</si>
  <si>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</si>
  <si>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</si>
  <si>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</si>
  <si>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</si>
  <si>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</si>
  <si>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</si>
  <si>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</si>
  <si>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</si>
  <si>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</si>
  <si>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</si>
  <si>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</si>
  <si>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</si>
  <si>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</si>
  <si>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</si>
  <si>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</si>
  <si>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</si>
  <si>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</si>
  <si>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</si>
  <si>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</si>
  <si>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</si>
  <si>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</si>
  <si>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</si>
  <si>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</si>
  <si>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</si>
  <si>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</si>
  <si>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</si>
  <si>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</si>
  <si>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</si>
  <si>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</si>
  <si>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</si>
  <si>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</si>
  <si>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</si>
  <si>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</si>
  <si>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</si>
  <si>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</si>
  <si>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</si>
  <si>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</si>
  <si>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</si>
  <si>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</si>
  <si>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</si>
  <si>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</si>
  <si>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</si>
  <si>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</si>
  <si>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</si>
  <si>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</si>
  <si>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</si>
  <si>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</si>
  <si>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</si>
  <si>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</si>
  <si>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</si>
  <si>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</si>
  <si>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</si>
  <si>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</si>
  <si>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</si>
  <si>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</si>
  <si>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</si>
  <si>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</si>
  <si>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</si>
  <si>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</si>
  <si>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</si>
  <si>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</si>
  <si>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</si>
  <si>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</si>
  <si>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</si>
  <si>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</si>
  <si>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</si>
  <si>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</si>
  <si>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</si>
  <si>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</si>
  <si>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</si>
  <si>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</si>
  <si>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</si>
  <si>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</si>
  <si>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</si>
  <si>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</si>
  <si>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</si>
  <si>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</si>
  <si>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</si>
  <si>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</si>
  <si>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</si>
  <si>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</si>
  <si>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</si>
  <si>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</si>
  <si>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</si>
  <si>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</si>
  <si>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</si>
  <si>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</si>
  <si>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</si>
  <si>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</si>
  <si>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</si>
  <si>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</si>
  <si>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</si>
  <si>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_de</t>
  </si>
  <si>
    <t>Euro</t>
  </si>
</sst>
</file>

<file path=xl/styles.xml><?xml version="1.0" encoding="utf-8"?>
<styleSheet xmlns="http://schemas.openxmlformats.org/spreadsheetml/2006/main">
  <numFmts count="1">
    <numFmt numFmtId="164" formatCode="mm-dd-yy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563C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</fills>
  <borders count="1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0" fillId="0" borderId="2" xfId="0" applyBorder="1"/>
    <xf numFmtId="0" fontId="0" fillId="0" borderId="3" xfId="0" applyBorder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3" fillId="0" borderId="6" xfId="0" applyFont="1" applyBorder="1" applyAlignment="1">
      <alignment horizontal="left"/>
    </xf>
    <xf numFmtId="0" fontId="0" fillId="3" borderId="7" xfId="0" applyFill="1" applyBorder="1"/>
    <xf numFmtId="0" fontId="0" fillId="3" borderId="7" xfId="0" applyFill="1" applyBorder="1" applyAlignment="1">
      <alignment horizontal="left" vertical="top" wrapText="1"/>
    </xf>
    <xf numFmtId="0" fontId="0" fillId="0" borderId="7" xfId="0" applyBorder="1"/>
    <xf numFmtId="164" fontId="0" fillId="3" borderId="7" xfId="0" applyNumberFormat="1" applyFill="1" applyBorder="1" applyAlignment="1">
      <alignment horizontal="left"/>
    </xf>
    <xf numFmtId="0" fontId="0" fillId="2" borderId="8" xfId="0" applyFill="1" applyBorder="1"/>
    <xf numFmtId="0" fontId="0" fillId="4" borderId="8" xfId="0" applyFill="1" applyBorder="1"/>
    <xf numFmtId="0" fontId="0" fillId="3" borderId="8" xfId="0" applyFill="1" applyBorder="1"/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customWidth="1"/>
    <col min="18" max="18" width="19.85546875" customWidth="1"/>
    <col min="19" max="19" width="11.5703125" customWidth="1"/>
    <col min="20" max="22" width="15.7109375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s="5" t="s">
        <v>446</v>
      </c>
      <c r="C2" s="5"/>
      <c r="D2" s="6">
        <f>IF($E$2="","Chose your language",VLOOKUP($E$2,Sprachversionen!$B:$BN,27,FALSE))</f>
        <v>0</v>
      </c>
      <c r="E2" s="7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7">
        <f>IF($E$2="",VLOOKUP($E$2,Sprachversionen!$B:$BN,28,FALSE),E3)</f>
        <v>0</v>
      </c>
      <c r="J3" s="8"/>
      <c r="K3" s="8"/>
      <c r="L3" s="8"/>
      <c r="M3" s="8"/>
      <c r="N3" s="8"/>
      <c r="O3" s="8"/>
    </row>
    <row r="4" spans="2:22" ht="12.75" customHeight="1">
      <c r="J4" s="9">
        <f>HYPERLINK(VLOOKUP($E$2,Sprachversionen!$B:$BN,62,FALSE))</f>
        <v>0</v>
      </c>
      <c r="K4" s="9"/>
      <c r="L4" s="9"/>
      <c r="M4" s="9"/>
      <c r="N4" s="9"/>
      <c r="O4" s="9"/>
    </row>
    <row r="5" spans="2:22" ht="12" customHeight="1">
      <c r="B5" s="6">
        <f>IF($E$2="","",VLOOKUP($E$2,Sprachversionen!$B:$BN,4,FALSE))</f>
        <v>0</v>
      </c>
      <c r="C5" s="6"/>
      <c r="D5" s="10"/>
    </row>
    <row r="6" spans="2:22">
      <c r="B6" s="6">
        <f>IF($E$2="","",VLOOKUP($E$2,Sprachversionen!$B:$BN,26,FALSE))</f>
        <v>0</v>
      </c>
      <c r="C6" s="6"/>
      <c r="D6" s="11"/>
      <c r="E6" s="11"/>
      <c r="F6" s="11"/>
      <c r="G6" s="11"/>
      <c r="H6" s="11"/>
    </row>
    <row r="7" spans="2:22">
      <c r="B7" s="6"/>
      <c r="C7" s="6"/>
      <c r="D7" s="11"/>
      <c r="E7" s="11"/>
      <c r="F7" s="11"/>
      <c r="G7" s="11"/>
      <c r="H7" s="11"/>
      <c r="J7" s="14"/>
    </row>
    <row r="8" spans="2:22">
      <c r="B8" s="6">
        <f>IF($E$2="","",VLOOKUP($E$2,Sprachversionen!$B:$BN,5,FALSE))</f>
        <v>0</v>
      </c>
      <c r="C8" s="6"/>
      <c r="D8" s="12">
        <f>IF($E$2="","",VLOOKUP($E$2,Sprachversionen!$B:$BN,7,FALSE))</f>
        <v>0</v>
      </c>
      <c r="E8" s="13"/>
      <c r="F8" s="12">
        <f>IF($E$2="","",VLOOKUP($E$2,Sprachversionen!$B:$BN,8,FALSE))</f>
        <v>0</v>
      </c>
      <c r="G8" s="13"/>
      <c r="H8" s="13"/>
      <c r="J8" s="15"/>
      <c r="K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2">
        <f>D8</f>
        <v>0</v>
      </c>
      <c r="E9" s="13">
        <f>E8</f>
        <v>0</v>
      </c>
      <c r="F9" s="12">
        <f>F8</f>
        <v>0</v>
      </c>
      <c r="G9" s="13">
        <f>G8</f>
        <v>0</v>
      </c>
      <c r="H9" s="13"/>
      <c r="J9" s="16"/>
    </row>
    <row r="10" spans="2:22" ht="13.5" customHeight="1"/>
    <row r="11" spans="2:22" ht="12.75" customHeight="1">
      <c r="B11" s="17">
        <f>IF($E$2="","",VLOOKUP($E$2,Sprachversionen!$B:$BN,11,FALSE))</f>
        <v>0</v>
      </c>
      <c r="D11" s="18">
        <f>IF($E$2="","",VLOOKUP($E$2,Sprachversionen!$B:$BN,11,FALSE))</f>
        <v>0</v>
      </c>
      <c r="E11" s="18">
        <f>IF($E$2="","",VLOOKUP($E$2,Sprachversionen!$B:$BN,12,FALSE))</f>
        <v>0</v>
      </c>
      <c r="F11" s="18">
        <f>IF($E$2="","",VLOOKUP($E$2,Sprachversionen!$B:$BN,13,FALSE))</f>
        <v>0</v>
      </c>
      <c r="G11" s="18">
        <f>IF($E$2="","",VLOOKUP($E$2,Sprachversionen!$B:$BN,14,FALSE))</f>
        <v>0</v>
      </c>
      <c r="H11" s="19">
        <f>IF($E$2="","",VLOOKUP($E$2,Sprachversionen!$B:$BN,15,FALSE))</f>
        <v>0</v>
      </c>
      <c r="J11" s="1">
        <f>B18</f>
        <v>0</v>
      </c>
      <c r="K11" s="1"/>
      <c r="Q11" s="1">
        <f>B18</f>
        <v>0</v>
      </c>
      <c r="R11" s="1"/>
    </row>
    <row r="12" spans="2:22">
      <c r="B12" s="20">
        <f>IF($E$2="","",VLOOKUP($E$2,Sprachversionen!$B:$BN,9,FALSE))</f>
        <v>0</v>
      </c>
      <c r="C12" s="20"/>
      <c r="D12" s="18"/>
      <c r="E12" s="18"/>
      <c r="F12" s="18"/>
      <c r="G12" s="18"/>
      <c r="H12" s="19"/>
    </row>
    <row r="13" spans="2:22">
      <c r="B13" s="21">
        <f>IF($E$2="","",VLOOKUP($E$2,Sprachversionen!$B:$BN,10,FALSE))</f>
        <v>0</v>
      </c>
      <c r="C13" s="21"/>
      <c r="D13" s="18"/>
      <c r="E13" s="18"/>
      <c r="F13" s="18"/>
      <c r="G13" s="18"/>
      <c r="H13" s="19"/>
      <c r="L13" s="22">
        <f>IF($E$2="","",VLOOKUP($E$2,Sprachversionen!$B:$BN,22,FALSE))</f>
        <v>0</v>
      </c>
      <c r="M13" s="22" t="s">
        <v>447</v>
      </c>
      <c r="N13" s="22">
        <f>IF(E3="",VLOOKUP($E$2,Sprachversionen!$B:$BN,28,FALSE),E3)</f>
        <v>0</v>
      </c>
      <c r="O13" s="22">
        <f>IF($E$2="","",VLOOKUP($E$2,Sprachversionen!$B:$BN,58,FALSE))</f>
        <v>0</v>
      </c>
      <c r="S13" s="22">
        <f>IF($E$2="","",VLOOKUP($E$2,Sprachversionen!$B:$BN,22,FALSE))</f>
        <v>0</v>
      </c>
      <c r="T13" s="22" t="s">
        <v>447</v>
      </c>
      <c r="U13" s="22">
        <f>IF(E3="",VLOOKUP($E$2,Sprachversionen!$B:$BN,28,FALSE),E3)</f>
        <v>0</v>
      </c>
      <c r="V13" s="22">
        <f>IF($E$2="","",VLOOKUP($E$2,Sprachversionen!$B:$BN,58,FALSE))</f>
        <v>0</v>
      </c>
    </row>
    <row r="14" spans="2:22">
      <c r="B14" s="23"/>
      <c r="C14" s="24"/>
      <c r="D14" s="18"/>
      <c r="E14" s="18"/>
      <c r="F14" s="18"/>
      <c r="G14" s="18"/>
      <c r="H14" s="19"/>
    </row>
  </sheetData>
  <mergeCells count="21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Finanzbericht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2026-01-19T15:56:24Z</dcterms:created>
  <dcterms:modified xsi:type="dcterms:W3CDTF">2026-01-19T15:56:24Z</dcterms:modified>
</cp:coreProperties>
</file>