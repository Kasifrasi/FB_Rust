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zbericht" sheetId="1" r:id="rId1"/>
    <sheet name="Sprachversionen" sheetId="2" r:id="rId2"/>
  </sheets>
  <calcPr calcId="124519" fullCalcOnLoad="1"/>
</workbook>
</file>

<file path=xl/sharedStrings.xml><?xml version="1.0" encoding="utf-8"?>
<sst xmlns="http://schemas.openxmlformats.org/spreadsheetml/2006/main" count="506" uniqueCount="484">
  <si>
    <t>_de</t>
  </si>
  <si>
    <t>deutsch</t>
  </si>
  <si>
    <t xml:space="preserve">1. </t>
  </si>
  <si>
    <t xml:space="preserve">19. </t>
  </si>
  <si>
    <t xml:space="preserve">2. </t>
  </si>
  <si>
    <t xml:space="preserve">20. </t>
  </si>
  <si>
    <t xml:space="preserve">3. </t>
  </si>
  <si>
    <t xml:space="preserve">21. </t>
  </si>
  <si>
    <t xml:space="preserve">4. </t>
  </si>
  <si>
    <t xml:space="preserve">22. </t>
  </si>
  <si>
    <t xml:space="preserve">5. </t>
  </si>
  <si>
    <t xml:space="preserve">23. </t>
  </si>
  <si>
    <t xml:space="preserve">6. </t>
  </si>
  <si>
    <t xml:space="preserve">24. </t>
  </si>
  <si>
    <t xml:space="preserve">7. </t>
  </si>
  <si>
    <t xml:space="preserve">25. </t>
  </si>
  <si>
    <t xml:space="preserve">8. </t>
  </si>
  <si>
    <t xml:space="preserve">26. </t>
  </si>
  <si>
    <t xml:space="preserve">9. </t>
  </si>
  <si>
    <t xml:space="preserve">27. </t>
  </si>
  <si>
    <t xml:space="preserve">10. </t>
  </si>
  <si>
    <t xml:space="preserve">28. </t>
  </si>
  <si>
    <t xml:space="preserve">11. </t>
  </si>
  <si>
    <t xml:space="preserve">29. </t>
  </si>
  <si>
    <t xml:space="preserve">12. </t>
  </si>
  <si>
    <t xml:space="preserve">30. </t>
  </si>
  <si>
    <t xml:space="preserve">13. </t>
  </si>
  <si>
    <t xml:space="preserve">31. </t>
  </si>
  <si>
    <t xml:space="preserve">14. </t>
  </si>
  <si>
    <t xml:space="preserve">32. </t>
  </si>
  <si>
    <t xml:space="preserve">15. </t>
  </si>
  <si>
    <t xml:space="preserve">33. </t>
  </si>
  <si>
    <t xml:space="preserve">16. </t>
  </si>
  <si>
    <t xml:space="preserve">34. </t>
  </si>
  <si>
    <t xml:space="preserve">17. </t>
  </si>
  <si>
    <t xml:space="preserve">35. </t>
  </si>
  <si>
    <t xml:space="preserve">18. </t>
  </si>
  <si>
    <t xml:space="preserve">36. </t>
  </si>
  <si>
    <t>AED</t>
  </si>
  <si>
    <t>F I N A N Z B E R I C H T</t>
  </si>
  <si>
    <t>ÜBERSICHT ÜBER EINNAHMEN UND AUSGABEN</t>
  </si>
  <si>
    <t>Projektnummer</t>
  </si>
  <si>
    <t>Projektlaufzeit</t>
  </si>
  <si>
    <t>Aktueller Berichtszeitraum</t>
  </si>
  <si>
    <t>von (TT MM JJJJ):</t>
  </si>
  <si>
    <t>bis (TT MM JJJJ):</t>
  </si>
  <si>
    <t>EINNAHMEN</t>
  </si>
  <si>
    <t>(in lokaler Währung)</t>
  </si>
  <si>
    <t>Bewilligtes Budget</t>
  </si>
  <si>
    <t>Einnahmen im Berichtszeitraum</t>
  </si>
  <si>
    <t>Einnahmen der gesamten Projektlaufzeit</t>
  </si>
  <si>
    <t>% erhaltene Einnahmen</t>
  </si>
  <si>
    <t>Begründung der Budgetüber- oder unterschreitung</t>
  </si>
  <si>
    <t>Saldovortrag (aus vorherigem Berichtszeitraum)</t>
  </si>
  <si>
    <t>Lokale Eigenleistung</t>
  </si>
  <si>
    <t>Beiträge von dritter Seite</t>
  </si>
  <si>
    <t>KMW Mittel*</t>
  </si>
  <si>
    <t>Zinserträge</t>
  </si>
  <si>
    <t>GESAMT</t>
  </si>
  <si>
    <t>Datum</t>
  </si>
  <si>
    <t>Rate</t>
  </si>
  <si>
    <t>AUSGABEN</t>
  </si>
  <si>
    <t>Ausgaben im Berichtszeitraum</t>
  </si>
  <si>
    <t>Projekttitel</t>
  </si>
  <si>
    <t>Sprache</t>
  </si>
  <si>
    <t>Lokalwährung</t>
  </si>
  <si>
    <t>Bauausgaben</t>
  </si>
  <si>
    <t xml:space="preserve">     Zwischensumme Bauausgaben</t>
  </si>
  <si>
    <t>Einmalige Ausgaben (Investitionen)</t>
  </si>
  <si>
    <t xml:space="preserve">     Zwischensumme Einmalige Ausgaben (Investitionen)</t>
  </si>
  <si>
    <t>Personalkosten</t>
  </si>
  <si>
    <t xml:space="preserve">     Zwischensumme Personalkosten</t>
  </si>
  <si>
    <t>Laufende Ausgaben für Projektaktivitäten</t>
  </si>
  <si>
    <t xml:space="preserve">     Zwischensumme Laufende Ausgaben für Projektaktivitäten</t>
  </si>
  <si>
    <t>Projektverwaltung</t>
  </si>
  <si>
    <t xml:space="preserve">     Zwischensumme Projektverwaltung</t>
  </si>
  <si>
    <t>Evaluierung</t>
  </si>
  <si>
    <t>Audit</t>
  </si>
  <si>
    <t>Reserve - nur nach Genehmigung</t>
  </si>
  <si>
    <t>Summe</t>
  </si>
  <si>
    <t>ABSCHLUSS</t>
  </si>
  <si>
    <t>Saldo für den Berichtszeitraum</t>
  </si>
  <si>
    <t>Saldo (Einnahmen minus Ausgaben)</t>
  </si>
  <si>
    <t>Saldenabstimmung:</t>
  </si>
  <si>
    <t>Bank</t>
  </si>
  <si>
    <t>Kasse</t>
  </si>
  <si>
    <t>Sonstiges (noch nicht eingelöste Schecks, Vorschüsse, Darlehen, etc.)</t>
  </si>
  <si>
    <t>Ich/Wir bestätige/n die Richtigkeit des vorliegenden Berichts unter Einhaltung des von beiden Partnern unterzeichneten Projektvertrages.</t>
  </si>
  <si>
    <t>Ort, Datum                  Unterschrift des Projektverantwortlichen</t>
  </si>
  <si>
    <t>Unterschrift einer weiteren autorisierten Person</t>
  </si>
  <si>
    <t xml:space="preserve">Funktion in der Organisation: </t>
  </si>
  <si>
    <t xml:space="preserve">Ich/Wir bestätige/n, dass die lokale Eigenleistung monetär ist. </t>
  </si>
  <si>
    <t>Ausgaben der gesamten Projektlaufzeit</t>
  </si>
  <si>
    <t>% verwendetes Budget</t>
  </si>
  <si>
    <t>Wechselkurs</t>
  </si>
  <si>
    <t>WK</t>
  </si>
  <si>
    <t>Ausfüllbare Felder sind in den Farben links</t>
  </si>
  <si>
    <t>Tipp:</t>
  </si>
  <si>
    <t>Bitte nutzen Sie zum ausfüllen des Finanzberichts unsere Ausfüllhilfe auf unserer Webseite:</t>
  </si>
  <si>
    <t>https://www.kindermissionswerk.org/fuer-partner/service</t>
  </si>
  <si>
    <t>Euro</t>
  </si>
  <si>
    <t>AFN</t>
  </si>
  <si>
    <t>english</t>
  </si>
  <si>
    <t xml:space="preserve">F I N A N C I A L  R E P O R T </t>
  </si>
  <si>
    <t>OVERVIEW - INCOME AND EXPENDITURE</t>
  </si>
  <si>
    <t>Project Number</t>
  </si>
  <si>
    <t>Project Duration</t>
  </si>
  <si>
    <t>Actual Reporting Period</t>
  </si>
  <si>
    <t>From (DD.MM.YYYY)</t>
  </si>
  <si>
    <t>To (DD.MM.YYYY)</t>
  </si>
  <si>
    <t>INCOME</t>
  </si>
  <si>
    <t>(In Local Currency)</t>
  </si>
  <si>
    <t>Approved Budget</t>
  </si>
  <si>
    <t>Income During Reporting Period</t>
  </si>
  <si>
    <t xml:space="preserve">Total project Income (Till date) </t>
  </si>
  <si>
    <t>% Income received</t>
  </si>
  <si>
    <t>Justification of budget surplus or deficit</t>
  </si>
  <si>
    <t>Balance -  carried forward from previous reporting period</t>
  </si>
  <si>
    <t>Local Contribution</t>
  </si>
  <si>
    <t>Third Party Contribution</t>
  </si>
  <si>
    <t>KMW Funds*</t>
  </si>
  <si>
    <t>Interest gains</t>
  </si>
  <si>
    <t>Total</t>
  </si>
  <si>
    <t>Date</t>
  </si>
  <si>
    <t>Installment</t>
  </si>
  <si>
    <t>EXPENSES</t>
  </si>
  <si>
    <t>Expenses in Reporting Period</t>
  </si>
  <si>
    <t>Project Title</t>
  </si>
  <si>
    <t>Language</t>
  </si>
  <si>
    <t>Local Currrency</t>
  </si>
  <si>
    <t>Building Expenses</t>
  </si>
  <si>
    <t>Subtotal Building Expenses</t>
  </si>
  <si>
    <t>Non-Recurring Expenses (Investments)</t>
  </si>
  <si>
    <t>Subtotal Non Recurring Expenses (Investments)</t>
  </si>
  <si>
    <t>Personnel Expenses</t>
  </si>
  <si>
    <t>Subtotal Personnel Expenses</t>
  </si>
  <si>
    <t>Ongoing Expenses for Project Activities</t>
  </si>
  <si>
    <t>Subtotal Ongoing Expenses for Project Activities</t>
  </si>
  <si>
    <t>Project Administration</t>
  </si>
  <si>
    <t>Subtotal Project Administration</t>
  </si>
  <si>
    <t>Evaluation</t>
  </si>
  <si>
    <t>Contingency reserve - after authorisation only</t>
  </si>
  <si>
    <t>Summary</t>
  </si>
  <si>
    <t>Balance for the Reporting Period</t>
  </si>
  <si>
    <t>Balance (Income Minus Expenses)</t>
  </si>
  <si>
    <t>Balance Reconciliation</t>
  </si>
  <si>
    <t>Cash</t>
  </si>
  <si>
    <t>Others (Uncashed Cheque, advances, loans etc.)</t>
  </si>
  <si>
    <t>I/We confirm the accuracy of this report in compliance with the project contract signed by both partners.</t>
  </si>
  <si>
    <t>Place, date Signature of the person responsible for the project</t>
  </si>
  <si>
    <t>Signature of another authorized person</t>
  </si>
  <si>
    <t>Function within the organization:</t>
  </si>
  <si>
    <t xml:space="preserve">I/We confirm that the local contribution is monetary. </t>
  </si>
  <si>
    <t>Total Project Expenditure</t>
  </si>
  <si>
    <t>% Used Budget</t>
  </si>
  <si>
    <t>Exchange Rate</t>
  </si>
  <si>
    <t>ER</t>
  </si>
  <si>
    <t>Fillable fields are in the colours on the left</t>
  </si>
  <si>
    <t>Tip:</t>
  </si>
  <si>
    <t>Please use our completion guide on our website to fill out the financial report.</t>
  </si>
  <si>
    <t>https://www.kindermissionswerk.org/en/partners/service</t>
  </si>
  <si>
    <t>ALL</t>
  </si>
  <si>
    <t>français</t>
  </si>
  <si>
    <t>R A P P O R T   F I N A N C I E R</t>
  </si>
  <si>
    <t>APERÇU DES RECETTES ET DÉPENSES</t>
  </si>
  <si>
    <t>Numéro du projet</t>
  </si>
  <si>
    <t>Durée totale du projet</t>
  </si>
  <si>
    <t>Période actuelle couverte par le rapport</t>
  </si>
  <si>
    <t>de (JJ/MM/AAAA) :</t>
  </si>
  <si>
    <t>RECETTES</t>
  </si>
  <si>
    <t>(en monnaie locale)</t>
  </si>
  <si>
    <t>Budget apprové</t>
  </si>
  <si>
    <t>Recettes pendant la période du rapport</t>
  </si>
  <si>
    <t>Cumul recettes sur toute la période</t>
  </si>
  <si>
    <t>% des recettes perçues</t>
  </si>
  <si>
    <t>Explication du dépassement de budget</t>
  </si>
  <si>
    <t>Solde (de la période précédente)</t>
  </si>
  <si>
    <t>Apport local</t>
  </si>
  <si>
    <t>Contributions de tiers</t>
  </si>
  <si>
    <t>Fonds KMW*</t>
  </si>
  <si>
    <t>Intérêts bancaires</t>
  </si>
  <si>
    <t>TOTAL</t>
  </si>
  <si>
    <t>versement</t>
  </si>
  <si>
    <t>DÉPENSES</t>
  </si>
  <si>
    <t>Dépenses pendant la période du rapport</t>
  </si>
  <si>
    <t>Titre du projet</t>
  </si>
  <si>
    <t>Langue</t>
  </si>
  <si>
    <t>Monnaie locale</t>
  </si>
  <si>
    <t>Dépenses de construction</t>
  </si>
  <si>
    <t xml:space="preserve">     Sous-total dépenses de construction</t>
  </si>
  <si>
    <t>Dépenses uniques (investissements)</t>
  </si>
  <si>
    <t xml:space="preserve">     Sous-total dépenses uniques (investissements)</t>
  </si>
  <si>
    <t>Personnel</t>
  </si>
  <si>
    <t>Sous-total personnel</t>
  </si>
  <si>
    <t>Dépenses courantes pour activités de projet</t>
  </si>
  <si>
    <t xml:space="preserve">     Sous-total dépenses courantes pour activités de projet</t>
  </si>
  <si>
    <t>Gestion de projet</t>
  </si>
  <si>
    <t xml:space="preserve">     Sous-total gestion de projet</t>
  </si>
  <si>
    <t>Réserve - uniquement après accord</t>
  </si>
  <si>
    <t>CLÔTURE DES COMPTES</t>
  </si>
  <si>
    <t>Solde à la fin de la période du rapport</t>
  </si>
  <si>
    <t>Solde (recettes moins dépenses)</t>
  </si>
  <si>
    <t>Rapprochement des soldes :</t>
  </si>
  <si>
    <t>Banque</t>
  </si>
  <si>
    <t>Caisse</t>
  </si>
  <si>
    <t>Divers (chèques non encaissés, avances, prêts, etc.)</t>
  </si>
  <si>
    <t>Je confirme / Nous certifions que le présent rapport est exact et conforme au contrat de projet signé par les deux partenaires.</t>
  </si>
  <si>
    <t>Lieu, date                  Signature du responsable du projet</t>
  </si>
  <si>
    <t>Signature d’une autre personne autorisée</t>
  </si>
  <si>
    <t xml:space="preserve">Fonction au sein de l’organisation : </t>
  </si>
  <si>
    <t>Je confirme / Nous confirmons que l'apport local est monétaire.</t>
  </si>
  <si>
    <t>Cumul dépenses sur toute la période</t>
  </si>
  <si>
    <t>% budget consommé</t>
  </si>
  <si>
    <t>Taux de change</t>
  </si>
  <si>
    <t>TC</t>
  </si>
  <si>
    <t>Les champs remplissables sont dans les couleurs à gauche</t>
  </si>
  <si>
    <t>Astuce :</t>
  </si>
  <si>
    <t>Veuillez utiliser notre aide à la saisie disponible sur notre site web pour remplir le rapport financier:</t>
  </si>
  <si>
    <t>https://www.kindermissionswerk.org/fr/pour-les-partenaires/services</t>
  </si>
  <si>
    <t>AMD</t>
  </si>
  <si>
    <t>español</t>
  </si>
  <si>
    <t>I N F O R M E  F I N A N C I E R O</t>
  </si>
  <si>
    <t>Resumen de los ingresos y egresos</t>
  </si>
  <si>
    <t>Número del proyecto</t>
  </si>
  <si>
    <t>Duración del proyecto</t>
  </si>
  <si>
    <t>Período de referencia</t>
  </si>
  <si>
    <t>de (DD MM AAAA):</t>
  </si>
  <si>
    <t>hasta (DD MM AAAA)</t>
  </si>
  <si>
    <t>Ingresos</t>
  </si>
  <si>
    <t>(en moneda local)</t>
  </si>
  <si>
    <t>Presupuesto aprobado</t>
  </si>
  <si>
    <t>Ingresos del período de referencia</t>
  </si>
  <si>
    <t>Ingresos acumulados (total desde el início)</t>
  </si>
  <si>
    <t>% Ingresos recibidos</t>
  </si>
  <si>
    <t>Justificación del superávit / déficit presupuestario</t>
  </si>
  <si>
    <t>Saldo (procendente del período de referencia anterior)</t>
  </si>
  <si>
    <t>Aporte propio</t>
  </si>
  <si>
    <t>Aportes de terceros</t>
  </si>
  <si>
    <t>Fondos KMW *</t>
  </si>
  <si>
    <t>Intereses acreedores percibidos</t>
  </si>
  <si>
    <t>Fecha</t>
  </si>
  <si>
    <t>Cuota</t>
  </si>
  <si>
    <t>EGRESOS</t>
  </si>
  <si>
    <t>Egresos del período de referencia</t>
  </si>
  <si>
    <t>Título del proyecto</t>
  </si>
  <si>
    <t>Idioma</t>
  </si>
  <si>
    <t>Moneda local</t>
  </si>
  <si>
    <t>Gastos de construcción</t>
  </si>
  <si>
    <t>Subtotal gastos de construcción</t>
  </si>
  <si>
    <t>Gastos extraordinarios (inversiones)</t>
  </si>
  <si>
    <t xml:space="preserve">Subtotal gastos extraorinarios (inversiones) </t>
  </si>
  <si>
    <t>Gastos de personal</t>
  </si>
  <si>
    <t>Subtotal gastos de personal</t>
  </si>
  <si>
    <t>Gastos corrientes para actividades del proyecto</t>
  </si>
  <si>
    <t>Subtotal gastos corrientes para actividades</t>
  </si>
  <si>
    <t xml:space="preserve">Gastos administrativos del proyecto / Gestión del proyecto </t>
  </si>
  <si>
    <t>Subtotal gastos administrativos del proyecto</t>
  </si>
  <si>
    <t>Evaluación</t>
  </si>
  <si>
    <t>Auditoría externa</t>
  </si>
  <si>
    <t>Reserva - solo previa autorización</t>
  </si>
  <si>
    <t>CIERRE DE CUENTAS</t>
  </si>
  <si>
    <t>Saldo en el período de referencia</t>
  </si>
  <si>
    <t>Saldo (ingresos menos egresos)</t>
  </si>
  <si>
    <t xml:space="preserve">Conciliación de saldos </t>
  </si>
  <si>
    <t>Banco</t>
  </si>
  <si>
    <t>Caja</t>
  </si>
  <si>
    <t>Otros (cheques aún no cobrados, anticipos, créditos, etc.)</t>
  </si>
  <si>
    <t xml:space="preserve">Por la presente certifico/certificamos la corrección del presente informe, el cual cumple las disposiciones del contrato de proyecto </t>
  </si>
  <si>
    <t>Lugar, fecha, firma del resonsable de proyecto</t>
  </si>
  <si>
    <t>Firma de otra persona autorizada</t>
  </si>
  <si>
    <t xml:space="preserve">Cargo  o Función dentro de la organización: </t>
  </si>
  <si>
    <t xml:space="preserve">Confirmo/confirmamos que el aporte propio es monetario </t>
  </si>
  <si>
    <t>Egresos acumulados desde el início del proyecto</t>
  </si>
  <si>
    <t xml:space="preserve">Ejecución presupuestaria (en %) </t>
  </si>
  <si>
    <t>Tipo de cambio</t>
  </si>
  <si>
    <t>Los campos rellenables aparecen en los colores de la izquierda</t>
  </si>
  <si>
    <t>Consejo:</t>
  </si>
  <si>
    <t>Por favor, utilice nuestra guía para completar el informe financiero, disponible en nuestro sitio web:</t>
  </si>
  <si>
    <t>https://www.kindermissionswerk.org/es/para-contrapartes-de-proyectos/servicios</t>
  </si>
  <si>
    <t>ANG</t>
  </si>
  <si>
    <t>português</t>
  </si>
  <si>
    <t>RELATÓRIO FINANCEIRO</t>
  </si>
  <si>
    <t>Resumo das receitas e despesas</t>
  </si>
  <si>
    <t xml:space="preserve">Número do projeto </t>
  </si>
  <si>
    <t>Duração do projeto</t>
  </si>
  <si>
    <t>Período de referência</t>
  </si>
  <si>
    <t>até (DD MM AAAA):</t>
  </si>
  <si>
    <t>RECEITAS</t>
  </si>
  <si>
    <t>(em moeda local)</t>
  </si>
  <si>
    <t>Plano de custos e financiamento aprovado</t>
  </si>
  <si>
    <t>Receitas do período de referência</t>
  </si>
  <si>
    <t>Receitas cumuladas (total desde o início)</t>
  </si>
  <si>
    <t>% Reiceitas recebidas</t>
  </si>
  <si>
    <t>Justificação do superávit / déficit orçamentário</t>
  </si>
  <si>
    <t>Saldo transportado (do período de referência anterior)</t>
  </si>
  <si>
    <t xml:space="preserve">Contribuição própria </t>
  </si>
  <si>
    <t>Contribuções de terceiros</t>
  </si>
  <si>
    <t>Subsídio KMW *</t>
  </si>
  <si>
    <t>Juros credores auferidos</t>
  </si>
  <si>
    <t>Data</t>
  </si>
  <si>
    <t>transferência parcial</t>
  </si>
  <si>
    <t>DESPESAS</t>
  </si>
  <si>
    <t>Despesas do período de referência</t>
  </si>
  <si>
    <t>Título do projeto</t>
  </si>
  <si>
    <t>Moeda local</t>
  </si>
  <si>
    <t>Despesas de construção (civil)</t>
  </si>
  <si>
    <t xml:space="preserve">Subtotal despesas de construção (civil) </t>
  </si>
  <si>
    <t>Despesas únicas (investimentos)</t>
  </si>
  <si>
    <t>Subtotal Despesas únicas (investimentos)</t>
  </si>
  <si>
    <t>Despesas com pessoal / recursos humanos</t>
  </si>
  <si>
    <t>Subtotal Despesas com pessoal / recursos humanos</t>
  </si>
  <si>
    <t>Custos de atividades de projeto</t>
  </si>
  <si>
    <t>Subtotal Custos de atividades de projeto</t>
  </si>
  <si>
    <t>Administração do projeto</t>
  </si>
  <si>
    <t>Subtotal Administração do projeto</t>
  </si>
  <si>
    <t>Avaliação</t>
  </si>
  <si>
    <t>Auditoria externa</t>
  </si>
  <si>
    <t>Reserva - somente após autorização</t>
  </si>
  <si>
    <t>BALANÇO</t>
  </si>
  <si>
    <t>Saldo do período de referência</t>
  </si>
  <si>
    <t>Saldo (receitas menos despesas</t>
  </si>
  <si>
    <t xml:space="preserve">Conciliação de saldo </t>
  </si>
  <si>
    <t>Caixa</t>
  </si>
  <si>
    <t>Outros (cheques não descontados, adiantamentos, empréstimos, etc.).</t>
  </si>
  <si>
    <t>Declaro/declaramos a veracidade deste relatório em conformidade com o contrato firmado entre as partes.</t>
  </si>
  <si>
    <t>Local, data e assinatura do responsável do projeto</t>
  </si>
  <si>
    <t>Assinatura de uma outra pessoa devidamente autorizada</t>
  </si>
  <si>
    <t>Função / cargo na organização:</t>
  </si>
  <si>
    <t xml:space="preserve">Confirmo/confirmamos que a contribuição prória é monetária </t>
  </si>
  <si>
    <t xml:space="preserve">Despesas acumuladas desde o início de projeto </t>
  </si>
  <si>
    <t>Execução orçamentária (em %)</t>
  </si>
  <si>
    <t>Taxa de câmbio</t>
  </si>
  <si>
    <t>Os campos preenchíveis estão nas cores à esquerda</t>
  </si>
  <si>
    <t>Dica:</t>
  </si>
  <si>
    <t>Por favor, utilize nosso guia de preenchimento disponível em nosso site para preencher o relatório financeiro:</t>
  </si>
  <si>
    <t>https://www.kindermissionswerk.org/pt/para-os-parceiros/servico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</si>
  <si>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</si>
  <si>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</si>
  <si>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</si>
  <si>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</si>
  <si>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</si>
  <si>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</si>
  <si>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</si>
  <si>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</si>
  <si>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</si>
  <si>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</si>
  <si>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</si>
  <si>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</si>
  <si>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</si>
  <si>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</si>
  <si>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</si>
  <si>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</si>
  <si>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</si>
  <si>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</si>
  <si>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</si>
  <si>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</si>
  <si>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</si>
  <si>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</si>
  <si>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</si>
  <si>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</si>
  <si>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</si>
  <si>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</si>
  <si>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</si>
  <si>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</si>
  <si>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</si>
  <si>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</si>
  <si>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</si>
  <si>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</si>
  <si>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</si>
  <si>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</si>
  <si>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</si>
  <si>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</si>
  <si>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</si>
  <si>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</si>
  <si>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</si>
  <si>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</si>
  <si>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</si>
  <si>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</si>
  <si>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</si>
  <si>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</si>
  <si>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</si>
  <si>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</si>
  <si>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</si>
  <si>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</si>
  <si>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</si>
  <si>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</si>
  <si>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</si>
  <si>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</si>
  <si>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</si>
  <si>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</si>
  <si>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</si>
  <si>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</si>
  <si>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</si>
  <si>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</si>
  <si>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</si>
  <si>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</si>
  <si>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</si>
  <si>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</si>
  <si>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</si>
  <si>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</si>
  <si>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</si>
  <si>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</si>
  <si>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</si>
  <si>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</si>
  <si>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</si>
  <si>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</si>
  <si>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</si>
  <si>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</si>
  <si>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</si>
  <si>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</si>
  <si>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</si>
  <si>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</si>
  <si>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</si>
  <si>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</si>
  <si>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</si>
  <si>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</si>
  <si>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</si>
  <si>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</si>
  <si>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</si>
  <si>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</si>
  <si>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</si>
  <si>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</si>
  <si>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</si>
  <si>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</si>
  <si>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</si>
  <si>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</si>
  <si>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</si>
  <si>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</si>
  <si>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</si>
  <si>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</si>
  <si>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</si>
  <si>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</si>
  <si>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</si>
  <si>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</si>
  <si>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</si>
  <si>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</si>
  <si>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</si>
  <si>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</si>
  <si>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</si>
  <si>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</si>
  <si>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</si>
  <si>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</si>
  <si>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</si>
  <si>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</si>
  <si>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</si>
  <si>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</si>
  <si>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</si>
  <si>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</si>
  <si>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</si>
  <si>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</si>
  <si>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</si>
  <si>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</si>
  <si>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</si>
  <si>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</si>
  <si>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</si>
  <si>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</si>
  <si>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</si>
  <si>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</si>
  <si>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</si>
  <si>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</si>
  <si>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</si>
  <si>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</si>
  <si>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</si>
  <si>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</si>
  <si>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</si>
  <si>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</si>
  <si>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</si>
  <si>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</si>
  <si>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</si>
  <si>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</si>
  <si>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</si>
  <si>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</si>
  <si>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</si>
  <si>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</si>
  <si>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</si>
  <si>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</si>
  <si>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</si>
  <si>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</si>
  <si>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</si>
  <si>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</si>
  <si>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</si>
  <si>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</si>
  <si>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</si>
  <si>
    <t>ZWL</t>
  </si>
</sst>
</file>

<file path=xl/styles.xml><?xml version="1.0" encoding="utf-8"?>
<styleSheet xmlns="http://schemas.openxmlformats.org/spreadsheetml/2006/main">
  <numFmts count="4">
    <numFmt numFmtId="164" formatCode="mm-dd-yy"/>
    <numFmt numFmtId="165" formatCode="#,##0.00"/>
    <numFmt numFmtId="166" formatCode="0%"/>
    <numFmt numFmtId="167" formatCode="0.000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563C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AE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top" wrapText="1"/>
      <protection locked="0"/>
    </xf>
    <xf numFmtId="164" fontId="1" fillId="2" borderId="3" xfId="0" applyNumberFormat="1" applyFont="1" applyFill="1" applyBorder="1" applyAlignment="1" applyProtection="1">
      <alignment horizontal="left"/>
      <protection locked="0"/>
    </xf>
    <xf numFmtId="0" fontId="1" fillId="0" borderId="4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  <xf numFmtId="0" fontId="1" fillId="4" borderId="7" xfId="0" applyFont="1" applyFill="1" applyBorder="1" applyProtection="1">
      <protection locked="0"/>
    </xf>
    <xf numFmtId="0" fontId="1" fillId="2" borderId="7" xfId="0" applyFont="1" applyFill="1" applyBorder="1" applyProtection="1"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/>
      <protection locked="0"/>
    </xf>
    <xf numFmtId="0" fontId="2" fillId="0" borderId="11" xfId="0" applyFont="1" applyBorder="1" applyAlignment="1" applyProtection="1">
      <alignment horizontal="left"/>
      <protection locked="0"/>
    </xf>
    <xf numFmtId="0" fontId="2" fillId="5" borderId="14" xfId="0" applyFont="1" applyFill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Protection="1">
      <protection locked="0"/>
    </xf>
    <xf numFmtId="165" fontId="1" fillId="2" borderId="17" xfId="0" applyNumberFormat="1" applyFont="1" applyFill="1" applyBorder="1" applyProtection="1">
      <protection locked="0"/>
    </xf>
    <xf numFmtId="166" fontId="1" fillId="0" borderId="17" xfId="0" applyNumberFormat="1" applyFont="1" applyBorder="1" applyProtection="1">
      <protection locked="0"/>
    </xf>
    <xf numFmtId="0" fontId="1" fillId="2" borderId="18" xfId="0" applyFont="1" applyFill="1" applyBorder="1" applyProtection="1">
      <protection locked="0"/>
    </xf>
    <xf numFmtId="165" fontId="1" fillId="5" borderId="19" xfId="0" applyNumberFormat="1" applyFont="1" applyFill="1" applyBorder="1" applyProtection="1">
      <protection locked="0"/>
    </xf>
    <xf numFmtId="165" fontId="1" fillId="4" borderId="17" xfId="0" applyNumberFormat="1" applyFont="1" applyFill="1" applyBorder="1" applyProtection="1"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1" fillId="0" borderId="21" xfId="0" applyFont="1" applyBorder="1" applyProtection="1">
      <protection locked="0"/>
    </xf>
    <xf numFmtId="0" fontId="1" fillId="0" borderId="22" xfId="0" applyFont="1" applyBorder="1" applyProtection="1">
      <protection locked="0"/>
    </xf>
    <xf numFmtId="0" fontId="1" fillId="0" borderId="23" xfId="0" applyFont="1" applyBorder="1" applyProtection="1">
      <protection locked="0"/>
    </xf>
    <xf numFmtId="0" fontId="1" fillId="0" borderId="24" xfId="0" applyFont="1" applyBorder="1" applyProtection="1">
      <protection locked="0"/>
    </xf>
    <xf numFmtId="0" fontId="1" fillId="0" borderId="23" xfId="0" applyFont="1" applyBorder="1" applyAlignment="1" applyProtection="1">
      <alignment horizontal="right"/>
      <protection locked="0"/>
    </xf>
    <xf numFmtId="0" fontId="1" fillId="0" borderId="24" xfId="0" applyFont="1" applyBorder="1" applyAlignment="1">
      <alignment horizontal="left"/>
    </xf>
    <xf numFmtId="164" fontId="1" fillId="2" borderId="25" xfId="0" applyNumberFormat="1" applyFont="1" applyFill="1" applyBorder="1" applyAlignment="1" applyProtection="1">
      <alignment horizontal="center"/>
      <protection locked="0"/>
    </xf>
    <xf numFmtId="165" fontId="1" fillId="2" borderId="25" xfId="0" applyNumberFormat="1" applyFont="1" applyFill="1" applyBorder="1" applyAlignment="1" applyProtection="1">
      <alignment horizontal="right"/>
      <protection locked="0"/>
    </xf>
    <xf numFmtId="167" fontId="1" fillId="0" borderId="25" xfId="0" applyNumberFormat="1" applyFont="1" applyBorder="1" applyAlignment="1">
      <alignment horizontal="right"/>
    </xf>
    <xf numFmtId="0" fontId="1" fillId="0" borderId="26" xfId="0" applyFont="1" applyBorder="1" applyAlignment="1" applyProtection="1">
      <alignment horizontal="right"/>
      <protection locked="0"/>
    </xf>
    <xf numFmtId="0" fontId="1" fillId="0" borderId="16" xfId="0" applyFont="1" applyBorder="1" applyAlignment="1">
      <alignment horizontal="left"/>
    </xf>
    <xf numFmtId="164" fontId="1" fillId="2" borderId="17" xfId="0" applyNumberFormat="1" applyFont="1" applyFill="1" applyBorder="1" applyAlignment="1" applyProtection="1">
      <alignment horizontal="center"/>
      <protection locked="0"/>
    </xf>
    <xf numFmtId="165" fontId="1" fillId="2" borderId="17" xfId="0" applyNumberFormat="1" applyFont="1" applyFill="1" applyBorder="1" applyAlignment="1" applyProtection="1">
      <alignment horizontal="right"/>
      <protection locked="0"/>
    </xf>
    <xf numFmtId="167" fontId="1" fillId="0" borderId="17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/>
    </xf>
    <xf numFmtId="0" fontId="1" fillId="0" borderId="3" xfId="0" applyFont="1" applyBorder="1"/>
    <xf numFmtId="0" fontId="2" fillId="0" borderId="2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166" fontId="1" fillId="0" borderId="17" xfId="0" applyNumberFormat="1" applyFont="1" applyBorder="1"/>
    <xf numFmtId="0" fontId="2" fillId="5" borderId="14" xfId="0" applyFont="1" applyFill="1" applyBorder="1" applyAlignment="1">
      <alignment horizontal="left"/>
    </xf>
    <xf numFmtId="165" fontId="1" fillId="5" borderId="27" xfId="0" applyNumberFormat="1" applyFont="1" applyFill="1" applyBorder="1"/>
    <xf numFmtId="166" fontId="1" fillId="5" borderId="27" xfId="0" applyNumberFormat="1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L31"/>
  <sheetViews>
    <sheetView showGridLines="0" tabSelected="1" zoomScale="85" zoomScaleNormal="85" workbookViewId="0">
      <pane ySplit="9" topLeftCell="A10" activePane="bottomLeft" state="frozen"/>
      <selection pane="bottomLeft"/>
    </sheetView>
  </sheetViews>
  <sheetFormatPr defaultRowHeight="15"/>
  <cols>
    <col min="1" max="1" width="3.28515625" style="1" customWidth="1"/>
    <col min="2" max="2" width="4.85546875" style="1" customWidth="1"/>
    <col min="3" max="3" width="56.7109375" style="1" customWidth="1"/>
    <col min="4" max="4" width="20.7109375" style="1" customWidth="1"/>
    <col min="5" max="6" width="18.7109375" style="1" customWidth="1"/>
    <col min="7" max="7" width="12.7109375" style="1" customWidth="1"/>
    <col min="8" max="8" width="18.7109375" style="1" customWidth="1"/>
    <col min="9" max="10" width="4.7109375" style="1" customWidth="1"/>
    <col min="11" max="11" width="19.85546875" style="1" customWidth="1"/>
    <col min="12" max="12" width="11.5703125" style="1" customWidth="1"/>
    <col min="13" max="15" width="15.7109375" style="1" customWidth="1"/>
    <col min="16" max="16" width="5.7109375" style="1" customWidth="1"/>
    <col min="17" max="17" width="4.7109375" style="1" customWidth="1"/>
    <col min="18" max="18" width="19.85546875" style="1" customWidth="1"/>
    <col min="19" max="19" width="11.5703125" style="1" customWidth="1"/>
    <col min="20" max="22" width="15.7109375" style="1" customWidth="1"/>
    <col min="23" max="23" width="4.7109375" style="1" customWidth="1"/>
    <col min="24" max="24" width="37.42578125" style="1" customWidth="1"/>
    <col min="25" max="25" width="11.5703125" style="1" customWidth="1"/>
    <col min="26" max="1000" width="9.140625" style="1"/>
  </cols>
  <sheetData>
    <row r="1" spans="2:22">
      <c r="B1" s="48" t="str">
        <f>IF($E$2="","",VLOOKUP($E$2,Sprachversionen!$B:$BN,2,FALSE))</f>
        <v>F I N A N Z B E R I C H T</v>
      </c>
      <c r="C1" s="2"/>
      <c r="J1" s="49" t="str">
        <f>IF($E$2="","",VLOOKUP($E$2,Sprachversionen!$B:$BN,60,FALSE))</f>
        <v>Tipp:</v>
      </c>
      <c r="K1" s="9"/>
      <c r="L1" s="9"/>
      <c r="M1" s="9"/>
      <c r="N1" s="9"/>
      <c r="O1" s="10"/>
    </row>
    <row r="2" spans="2:22">
      <c r="B2" s="3" t="s">
        <v>0</v>
      </c>
      <c r="C2" s="3"/>
      <c r="D2" s="50" t="str">
        <f>IF($E$2="","Chose your language",VLOOKUP($E$2,Sprachversionen!$B:$BN,27,FALSE))</f>
        <v>Sprache</v>
      </c>
      <c r="E2" s="11" t="s">
        <v>1</v>
      </c>
      <c r="J2" s="51" t="str">
        <f>IF($E$2="","",VLOOKUP($E$2,Sprachversionen!$B:$BN,61,FALSE))</f>
        <v>Bitte nutzen Sie zum ausfüllen des Finanzberichts unsere Ausfüllhilfe auf unserer Webseite:</v>
      </c>
      <c r="K2" s="4"/>
      <c r="L2" s="4"/>
      <c r="M2" s="4"/>
      <c r="N2" s="4"/>
      <c r="O2" s="4"/>
    </row>
    <row r="3" spans="2:22">
      <c r="B3" s="48" t="str">
        <f>IF($E$2="","",VLOOKUP($E$2,Sprachversionen!$B:$BN,3,FALSE))</f>
        <v>ÜBERSICHT ÜBER EINNAHMEN UND AUSGABEN</v>
      </c>
      <c r="C3" s="2"/>
      <c r="D3" s="50" t="str">
        <f>IF($E$2="","",VLOOKUP($E$2,Sprachversionen!$B:$BN,28,FALSE))</f>
        <v>Lokalwährung</v>
      </c>
      <c r="E3" s="11"/>
      <c r="J3" s="4"/>
      <c r="K3" s="4"/>
      <c r="L3" s="4"/>
      <c r="M3" s="4"/>
      <c r="N3" s="4"/>
      <c r="O3" s="4"/>
    </row>
    <row r="4" spans="2:22" ht="12" customHeight="1">
      <c r="J4" s="52" t="str">
        <f>HYPERLINK(VLOOKUP($E$2,Sprachversionen!$B:$BN,62,FALSE))</f>
        <v>https://www.kindermissionswerk.org/fuer-partner/service</v>
      </c>
      <c r="K4" s="5"/>
      <c r="L4" s="5"/>
      <c r="M4" s="5"/>
      <c r="N4" s="5"/>
      <c r="O4" s="5"/>
    </row>
    <row r="5" spans="2:22">
      <c r="B5" s="50" t="str">
        <f>IF($E$2="","",VLOOKUP($E$2,Sprachversionen!$B:$BN,4,FALSE))</f>
        <v>Projektnummer</v>
      </c>
      <c r="C5" s="6"/>
      <c r="D5" s="12"/>
    </row>
    <row r="6" spans="2:22">
      <c r="B6" s="50" t="str">
        <f>IF($E$2="","",VLOOKUP($E$2,Sprachversionen!$B:$BN,26,FALSE))</f>
        <v>Projekttitel</v>
      </c>
      <c r="C6" s="6"/>
      <c r="D6" s="7"/>
      <c r="E6" s="7"/>
      <c r="F6" s="7"/>
      <c r="G6" s="7"/>
      <c r="H6" s="7"/>
    </row>
    <row r="7" spans="2:22">
      <c r="B7" s="6"/>
      <c r="C7" s="6"/>
      <c r="D7" s="7"/>
      <c r="E7" s="7"/>
      <c r="F7" s="7"/>
      <c r="G7" s="7"/>
      <c r="H7" s="7"/>
      <c r="J7" s="13"/>
    </row>
    <row r="8" spans="2:22">
      <c r="B8" s="50" t="str">
        <f>IF($E$2="","",VLOOKUP($E$2,Sprachversionen!$B:$BN,5,FALSE))</f>
        <v>Projektlaufzeit</v>
      </c>
      <c r="C8" s="6"/>
      <c r="D8" s="53" t="str">
        <f>IF($E$2="","",VLOOKUP($E$2,Sprachversionen!$B:$BN,7,FALSE))</f>
        <v>von (TT MM JJJJ):</v>
      </c>
      <c r="E8" s="8"/>
      <c r="F8" s="53" t="str">
        <f>IF($E$2="","",VLOOKUP($E$2,Sprachversionen!$B:$BN,8,FALSE))</f>
        <v>bis (TT MM JJJJ):</v>
      </c>
      <c r="G8" s="8"/>
      <c r="H8" s="8"/>
      <c r="J8" s="14"/>
      <c r="K8" s="1" t="str">
        <f>IF($E$2="","",VLOOKUP($E$2,Sprachversionen!$B:$BN,59,FALSE))</f>
        <v>Ausfüllbare Felder sind in den Farben links</v>
      </c>
    </row>
    <row r="9" spans="2:22">
      <c r="B9" s="50" t="str">
        <f>IF($E$2="","",VLOOKUP($E$2,Sprachversionen!$B:$BN,6,FALSE))</f>
        <v>Aktueller Berichtszeitraum</v>
      </c>
      <c r="C9" s="6"/>
      <c r="D9" s="53" t="str">
        <f>IF($E$2="","",VLOOKUP($E$2,Sprachversionen!$B:$BN,7,FALSE))</f>
        <v>von (TT MM JJJJ):</v>
      </c>
      <c r="E9" s="8"/>
      <c r="F9" s="53" t="str">
        <f>IF($E$2="","",VLOOKUP($E$2,Sprachversionen!$B:$BN,8,FALSE))</f>
        <v>bis (TT MM JJJJ):</v>
      </c>
      <c r="G9" s="8"/>
      <c r="H9" s="8"/>
      <c r="J9" s="15"/>
    </row>
    <row r="10" spans="2:22" ht="13.5" customHeight="1"/>
    <row r="11" spans="2:22" ht="12.75" customHeight="1">
      <c r="B11" s="16"/>
      <c r="C11" s="26"/>
      <c r="D11" s="55" t="str">
        <f>IF($E$2="","",VLOOKUP($E$2,Sprachversionen!$B:$BN,11,FALSE))</f>
        <v>Bewilligtes Budget</v>
      </c>
      <c r="E11" s="56" t="str">
        <f>IF($E$2="","",VLOOKUP($E$2,Sprachversionen!$B:$BN,12,FALSE))</f>
        <v>Einnahmen im Berichtszeitraum</v>
      </c>
      <c r="F11" s="55" t="str">
        <f>IF($E$2="","",VLOOKUP($E$2,Sprachversionen!$B:$BN,13,FALSE))</f>
        <v>Einnahmen der gesamten Projektlaufzeit</v>
      </c>
      <c r="G11" s="55" t="str">
        <f>IF($E$2="","",VLOOKUP($E$2,Sprachversionen!$B:$BN,14,FALSE))</f>
        <v>% erhaltene Einnahmen</v>
      </c>
      <c r="H11" s="57" t="str">
        <f>IF($E$2="","",VLOOKUP($E$2,Sprachversionen!$B:$BN,15,FALSE))</f>
        <v>Begründung der Budgetüber- oder unterschreitung</v>
      </c>
      <c r="J11" s="54" t="str">
        <f>IF($E$2="","",VLOOKUP($E$2,Sprachversionen!$B:$BN,19,FALSE))</f>
        <v>KMW Mittel*</v>
      </c>
      <c r="K11" s="33"/>
      <c r="L11" s="34"/>
      <c r="M11" s="34"/>
      <c r="N11" s="34"/>
      <c r="O11" s="35"/>
      <c r="Q11" s="54" t="str">
        <f>IF($E$2="","",VLOOKUP($E$2,Sprachversionen!$B:$BN,19,FALSE))</f>
        <v>KMW Mittel*</v>
      </c>
      <c r="R11" s="33"/>
      <c r="S11" s="34"/>
      <c r="T11" s="34"/>
      <c r="U11" s="34"/>
      <c r="V11" s="35"/>
    </row>
    <row r="12" spans="2:22">
      <c r="B12" s="58" t="str">
        <f>IF($E$2="","",VLOOKUP($E$2,Sprachversionen!$B:$BN,9,FALSE))</f>
        <v>EINNAHMEN</v>
      </c>
      <c r="C12" s="20"/>
      <c r="D12" s="17"/>
      <c r="E12" s="18"/>
      <c r="F12" s="17"/>
      <c r="G12" s="17"/>
      <c r="H12" s="19"/>
      <c r="J12" s="36"/>
      <c r="K12" s="1"/>
      <c r="L12" s="1"/>
      <c r="M12" s="1"/>
      <c r="N12" s="1"/>
      <c r="O12" s="37"/>
      <c r="Q12" s="36"/>
      <c r="R12" s="1"/>
      <c r="S12" s="1"/>
      <c r="T12" s="1"/>
      <c r="U12" s="1"/>
      <c r="V12" s="37"/>
    </row>
    <row r="13" spans="2:22">
      <c r="B13" s="59" t="str">
        <f>IF($E$2="","",VLOOKUP($E$2,Sprachversionen!$B:$BN,10,FALSE))</f>
        <v>(in lokaler Währung)</v>
      </c>
      <c r="C13" s="21"/>
      <c r="D13" s="17"/>
      <c r="E13" s="18"/>
      <c r="F13" s="17"/>
      <c r="G13" s="17"/>
      <c r="H13" s="19"/>
      <c r="J13" s="36"/>
      <c r="K13" s="1"/>
      <c r="L13" s="60" t="str">
        <f>IF($E$2="","",VLOOKUP($E$2,Sprachversionen!$B:$BN,22,FALSE))</f>
        <v>Datum</v>
      </c>
      <c r="M13" s="60" t="str">
        <f>VLOOKUP($E$2,Sprachversionen!$B:$BN,63,FALSE)</f>
        <v>Euro</v>
      </c>
      <c r="N13" s="60" t="str">
        <f>IF(E3="",VLOOKUP($E$2,Sprachversionen!$B:$BN,28,FALSE),E3)</f>
        <v>Lokalwährung</v>
      </c>
      <c r="O13" s="61" t="str">
        <f>VLOOKUP($E$2,Sprachversionen!$B:$BN,58,FALSE)</f>
        <v>WK</v>
      </c>
      <c r="Q13" s="36"/>
      <c r="R13" s="1"/>
      <c r="S13" s="60" t="str">
        <f>IF($E$2="","",VLOOKUP($E$2,Sprachversionen!$B:$BN,22,FALSE))</f>
        <v>Datum</v>
      </c>
      <c r="T13" s="60" t="str">
        <f>VLOOKUP($E$2,Sprachversionen!$B:$BN,63,FALSE)</f>
        <v>Euro</v>
      </c>
      <c r="U13" s="60" t="str">
        <f>IF(E3="",VLOOKUP($E$2,Sprachversionen!$B:$BN,28,FALSE),E3)</f>
        <v>Lokalwährung</v>
      </c>
      <c r="V13" s="61" t="str">
        <f>VLOOKUP($E$2,Sprachversionen!$B:$BN,58,FALSE)</f>
        <v>WK</v>
      </c>
    </row>
    <row r="14" spans="2:22">
      <c r="B14" s="22"/>
      <c r="C14" s="27"/>
      <c r="D14" s="17"/>
      <c r="E14" s="18"/>
      <c r="F14" s="17"/>
      <c r="G14" s="17"/>
      <c r="H14" s="19"/>
      <c r="J14" s="38" t="s">
        <v>2</v>
      </c>
      <c r="K14" s="39" t="str">
        <f>IF($E$2="","",VLOOKUP($E$2,Sprachversionen!$B:$BN,23,FALSE))</f>
        <v>Rate</v>
      </c>
      <c r="L14" s="40"/>
      <c r="M14" s="41"/>
      <c r="N14" s="41"/>
      <c r="O14" s="42">
        <f>IF(M14="","",N14/M14)</f>
        <v>0</v>
      </c>
      <c r="Q14" s="38" t="s">
        <v>3</v>
      </c>
      <c r="R14" s="39" t="str">
        <f>IF($E$2="","",VLOOKUP($E$2,Sprachversionen!$B:$BN,23,FALSE))</f>
        <v>Rate</v>
      </c>
      <c r="S14" s="40"/>
      <c r="T14" s="41"/>
      <c r="U14" s="41"/>
      <c r="V14" s="42">
        <f>IF(T14="","",U14/T14)</f>
        <v>0</v>
      </c>
    </row>
    <row r="15" spans="2:22">
      <c r="B15" s="62" t="str">
        <f>IF($E$2="","",VLOOKUP($E$2,Sprachversionen!$B:$BN,16,FALSE))</f>
        <v>Saldovortrag (aus vorherigem Berichtszeitraum)</v>
      </c>
      <c r="C15" s="23"/>
      <c r="D15" s="32">
        <v>0</v>
      </c>
      <c r="E15" s="28"/>
      <c r="F15" s="28"/>
      <c r="G15" s="29"/>
      <c r="H15" s="30"/>
      <c r="J15" s="38" t="s">
        <v>4</v>
      </c>
      <c r="K15" s="39" t="str">
        <f>IF($E$2="","",VLOOKUP($E$2,Sprachversionen!$B:$BN,23,FALSE))</f>
        <v>Rate</v>
      </c>
      <c r="L15" s="40"/>
      <c r="M15" s="41"/>
      <c r="N15" s="41"/>
      <c r="O15" s="42">
        <f>IF(M15="","",N15/M15)</f>
        <v>0</v>
      </c>
      <c r="Q15" s="38" t="s">
        <v>5</v>
      </c>
      <c r="R15" s="39" t="str">
        <f>IF($E$2="","",VLOOKUP($E$2,Sprachversionen!$B:$BN,23,FALSE))</f>
        <v>Rate</v>
      </c>
      <c r="S15" s="40"/>
      <c r="T15" s="41"/>
      <c r="U15" s="41"/>
      <c r="V15" s="42">
        <f>IF(T15="","",U15/T15)</f>
        <v>0</v>
      </c>
    </row>
    <row r="16" spans="2:22">
      <c r="B16" s="63" t="str">
        <f>IF($E$2="","",VLOOKUP($E$2,Sprachversionen!$B:$BN,17,FALSE))</f>
        <v>Lokale Eigenleistung</v>
      </c>
      <c r="C16" s="24"/>
      <c r="D16" s="32">
        <v>0</v>
      </c>
      <c r="E16" s="28"/>
      <c r="F16" s="28"/>
      <c r="G16" s="64">
        <f>IFERROR(F16/D16,0)</f>
        <v>0</v>
      </c>
      <c r="H16" s="30"/>
      <c r="J16" s="38" t="s">
        <v>6</v>
      </c>
      <c r="K16" s="39" t="str">
        <f>IF($E$2="","",VLOOKUP($E$2,Sprachversionen!$B:$BN,23,FALSE))</f>
        <v>Rate</v>
      </c>
      <c r="L16" s="40"/>
      <c r="M16" s="41"/>
      <c r="N16" s="41"/>
      <c r="O16" s="42">
        <f>IF(M16="","",N16/M16)</f>
        <v>0</v>
      </c>
      <c r="Q16" s="38" t="s">
        <v>7</v>
      </c>
      <c r="R16" s="39" t="str">
        <f>IF($E$2="","",VLOOKUP($E$2,Sprachversionen!$B:$BN,23,FALSE))</f>
        <v>Rate</v>
      </c>
      <c r="S16" s="40"/>
      <c r="T16" s="41"/>
      <c r="U16" s="41"/>
      <c r="V16" s="42">
        <f>IF(T16="","",U16/T16)</f>
        <v>0</v>
      </c>
    </row>
    <row r="17" spans="2:22">
      <c r="B17" s="63" t="str">
        <f>IF($E$2="","",VLOOKUP($E$2,Sprachversionen!$B:$BN,18,FALSE))</f>
        <v>Beiträge von dritter Seite</v>
      </c>
      <c r="C17" s="24"/>
      <c r="D17" s="32">
        <v>0</v>
      </c>
      <c r="E17" s="28"/>
      <c r="F17" s="28"/>
      <c r="G17" s="64">
        <f>IFERROR(F17/D17,0)</f>
        <v>0</v>
      </c>
      <c r="H17" s="30"/>
      <c r="J17" s="38" t="s">
        <v>8</v>
      </c>
      <c r="K17" s="39" t="str">
        <f>IF($E$2="","",VLOOKUP($E$2,Sprachversionen!$B:$BN,23,FALSE))</f>
        <v>Rate</v>
      </c>
      <c r="L17" s="40"/>
      <c r="M17" s="41"/>
      <c r="N17" s="41"/>
      <c r="O17" s="42">
        <f>IF(M17="","",N17/M17)</f>
        <v>0</v>
      </c>
      <c r="Q17" s="38" t="s">
        <v>9</v>
      </c>
      <c r="R17" s="39" t="str">
        <f>IF($E$2="","",VLOOKUP($E$2,Sprachversionen!$B:$BN,23,FALSE))</f>
        <v>Rate</v>
      </c>
      <c r="S17" s="40"/>
      <c r="T17" s="41"/>
      <c r="U17" s="41"/>
      <c r="V17" s="42">
        <f>IF(T17="","",U17/T17)</f>
        <v>0</v>
      </c>
    </row>
    <row r="18" spans="2:22">
      <c r="B18" s="63" t="str">
        <f>IF($E$2="","",VLOOKUP($E$2,Sprachversionen!$B:$BN,19,FALSE))</f>
        <v>KMW Mittel*</v>
      </c>
      <c r="C18" s="24"/>
      <c r="D18" s="32">
        <v>0</v>
      </c>
      <c r="E18" s="28"/>
      <c r="F18" s="28"/>
      <c r="G18" s="64">
        <f>IFERROR(F18/D18,0)</f>
        <v>0</v>
      </c>
      <c r="H18" s="30"/>
      <c r="J18" s="38" t="s">
        <v>10</v>
      </c>
      <c r="K18" s="39" t="str">
        <f>IF($E$2="","",VLOOKUP($E$2,Sprachversionen!$B:$BN,23,FALSE))</f>
        <v>Rate</v>
      </c>
      <c r="L18" s="40"/>
      <c r="M18" s="41"/>
      <c r="N18" s="41"/>
      <c r="O18" s="42">
        <f>IF(M18="","",N18/M18)</f>
        <v>0</v>
      </c>
      <c r="Q18" s="38" t="s">
        <v>11</v>
      </c>
      <c r="R18" s="39" t="str">
        <f>IF($E$2="","",VLOOKUP($E$2,Sprachversionen!$B:$BN,23,FALSE))</f>
        <v>Rate</v>
      </c>
      <c r="S18" s="40"/>
      <c r="T18" s="41"/>
      <c r="U18" s="41"/>
      <c r="V18" s="42">
        <f>IF(T18="","",U18/T18)</f>
        <v>0</v>
      </c>
    </row>
    <row r="19" spans="2:22">
      <c r="B19" s="63" t="str">
        <f>IF($E$2="","",VLOOKUP($E$2,Sprachversionen!$B:$BN,20,FALSE))</f>
        <v>Zinserträge</v>
      </c>
      <c r="C19" s="24"/>
      <c r="D19" s="32">
        <v>0</v>
      </c>
      <c r="E19" s="28"/>
      <c r="F19" s="28"/>
      <c r="G19" s="64">
        <f>IFERROR(F19/D19,0)</f>
        <v>0</v>
      </c>
      <c r="H19" s="30"/>
      <c r="J19" s="38" t="s">
        <v>12</v>
      </c>
      <c r="K19" s="39" t="str">
        <f>IF($E$2="","",VLOOKUP($E$2,Sprachversionen!$B:$BN,23,FALSE))</f>
        <v>Rate</v>
      </c>
      <c r="L19" s="40"/>
      <c r="M19" s="41"/>
      <c r="N19" s="41"/>
      <c r="O19" s="42">
        <f>IF(M19="","",N19/M19)</f>
        <v>0</v>
      </c>
      <c r="Q19" s="38" t="s">
        <v>13</v>
      </c>
      <c r="R19" s="39" t="str">
        <f>IF($E$2="","",VLOOKUP($E$2,Sprachversionen!$B:$BN,23,FALSE))</f>
        <v>Rate</v>
      </c>
      <c r="S19" s="40"/>
      <c r="T19" s="41"/>
      <c r="U19" s="41"/>
      <c r="V19" s="42">
        <f>IF(T19="","",U19/T19)</f>
        <v>0</v>
      </c>
    </row>
    <row r="20" spans="2:22">
      <c r="B20" s="65" t="str">
        <f>IF($E$2="","",VLOOKUP($E$2,Sprachversionen!$B:$BN,21,FALSE))</f>
        <v>GESAMT</v>
      </c>
      <c r="C20" s="25"/>
      <c r="D20" s="66">
        <f>SUMPRODUCT(ROUND(D15:D19, 2))</f>
        <v>0</v>
      </c>
      <c r="E20" s="66">
        <f>SUMPRODUCT(ROUND(E15:E19, 2))</f>
        <v>0</v>
      </c>
      <c r="F20" s="66">
        <f>SUMPRODUCT(ROUND(F15:F19, 2))</f>
        <v>0</v>
      </c>
      <c r="G20" s="67">
        <f>IFERROR(F20/D20,0)</f>
        <v>0</v>
      </c>
      <c r="H20" s="31"/>
      <c r="J20" s="38" t="s">
        <v>14</v>
      </c>
      <c r="K20" s="39" t="str">
        <f>IF($E$2="","",VLOOKUP($E$2,Sprachversionen!$B:$BN,23,FALSE))</f>
        <v>Rate</v>
      </c>
      <c r="L20" s="40"/>
      <c r="M20" s="41"/>
      <c r="N20" s="41"/>
      <c r="O20" s="42">
        <f>IF(M20="","",N20/M20)</f>
        <v>0</v>
      </c>
      <c r="Q20" s="38" t="s">
        <v>15</v>
      </c>
      <c r="R20" s="39" t="str">
        <f>IF($E$2="","",VLOOKUP($E$2,Sprachversionen!$B:$BN,23,FALSE))</f>
        <v>Rate</v>
      </c>
      <c r="S20" s="40"/>
      <c r="T20" s="41"/>
      <c r="U20" s="41"/>
      <c r="V20" s="42">
        <f>IF(T20="","",U20/T20)</f>
        <v>0</v>
      </c>
    </row>
    <row r="21" spans="2:22">
      <c r="J21" s="38" t="s">
        <v>16</v>
      </c>
      <c r="K21" s="39" t="str">
        <f>IF($E$2="","",VLOOKUP($E$2,Sprachversionen!$B:$BN,23,FALSE))</f>
        <v>Rate</v>
      </c>
      <c r="L21" s="40"/>
      <c r="M21" s="41"/>
      <c r="N21" s="41"/>
      <c r="O21" s="42">
        <f>IF(M21="","",N21/M21)</f>
        <v>0</v>
      </c>
      <c r="Q21" s="38" t="s">
        <v>17</v>
      </c>
      <c r="R21" s="39" t="str">
        <f>IF($E$2="","",VLOOKUP($E$2,Sprachversionen!$B:$BN,23,FALSE))</f>
        <v>Rate</v>
      </c>
      <c r="S21" s="40"/>
      <c r="T21" s="41"/>
      <c r="U21" s="41"/>
      <c r="V21" s="42">
        <f>IF(T21="","",U21/T21)</f>
        <v>0</v>
      </c>
    </row>
    <row r="22" spans="2:22">
      <c r="J22" s="38" t="s">
        <v>18</v>
      </c>
      <c r="K22" s="39" t="str">
        <f>IF($E$2="","",VLOOKUP($E$2,Sprachversionen!$B:$BN,23,FALSE))</f>
        <v>Rate</v>
      </c>
      <c r="L22" s="40"/>
      <c r="M22" s="41"/>
      <c r="N22" s="41"/>
      <c r="O22" s="42">
        <f>IF(M22="","",N22/M22)</f>
        <v>0</v>
      </c>
      <c r="Q22" s="38" t="s">
        <v>19</v>
      </c>
      <c r="R22" s="39" t="str">
        <f>IF($E$2="","",VLOOKUP($E$2,Sprachversionen!$B:$BN,23,FALSE))</f>
        <v>Rate</v>
      </c>
      <c r="S22" s="40"/>
      <c r="T22" s="41"/>
      <c r="U22" s="41"/>
      <c r="V22" s="42">
        <f>IF(T22="","",U22/T22)</f>
        <v>0</v>
      </c>
    </row>
    <row r="23" spans="2:22">
      <c r="J23" s="38" t="s">
        <v>20</v>
      </c>
      <c r="K23" s="39" t="str">
        <f>IF($E$2="","",VLOOKUP($E$2,Sprachversionen!$B:$BN,23,FALSE))</f>
        <v>Rate</v>
      </c>
      <c r="L23" s="40"/>
      <c r="M23" s="41"/>
      <c r="N23" s="41"/>
      <c r="O23" s="42">
        <f>IF(M23="","",N23/M23)</f>
        <v>0</v>
      </c>
      <c r="Q23" s="38" t="s">
        <v>21</v>
      </c>
      <c r="R23" s="39" t="str">
        <f>IF($E$2="","",VLOOKUP($E$2,Sprachversionen!$B:$BN,23,FALSE))</f>
        <v>Rate</v>
      </c>
      <c r="S23" s="40"/>
      <c r="T23" s="41"/>
      <c r="U23" s="41"/>
      <c r="V23" s="42">
        <f>IF(T23="","",U23/T23)</f>
        <v>0</v>
      </c>
    </row>
    <row r="24" spans="2:22">
      <c r="J24" s="38" t="s">
        <v>22</v>
      </c>
      <c r="K24" s="39" t="str">
        <f>IF($E$2="","",VLOOKUP($E$2,Sprachversionen!$B:$BN,23,FALSE))</f>
        <v>Rate</v>
      </c>
      <c r="L24" s="40"/>
      <c r="M24" s="41"/>
      <c r="N24" s="41"/>
      <c r="O24" s="42">
        <f>IF(M24="","",N24/M24)</f>
        <v>0</v>
      </c>
      <c r="Q24" s="38" t="s">
        <v>23</v>
      </c>
      <c r="R24" s="39" t="str">
        <f>IF($E$2="","",VLOOKUP($E$2,Sprachversionen!$B:$BN,23,FALSE))</f>
        <v>Rate</v>
      </c>
      <c r="S24" s="40"/>
      <c r="T24" s="41"/>
      <c r="U24" s="41"/>
      <c r="V24" s="42">
        <f>IF(T24="","",U24/T24)</f>
        <v>0</v>
      </c>
    </row>
    <row r="25" spans="2:22">
      <c r="J25" s="38" t="s">
        <v>24</v>
      </c>
      <c r="K25" s="39" t="str">
        <f>IF($E$2="","",VLOOKUP($E$2,Sprachversionen!$B:$BN,23,FALSE))</f>
        <v>Rate</v>
      </c>
      <c r="L25" s="40"/>
      <c r="M25" s="41"/>
      <c r="N25" s="41"/>
      <c r="O25" s="42">
        <f>IF(M25="","",N25/M25)</f>
        <v>0</v>
      </c>
      <c r="Q25" s="38" t="s">
        <v>25</v>
      </c>
      <c r="R25" s="39" t="str">
        <f>IF($E$2="","",VLOOKUP($E$2,Sprachversionen!$B:$BN,23,FALSE))</f>
        <v>Rate</v>
      </c>
      <c r="S25" s="40"/>
      <c r="T25" s="41"/>
      <c r="U25" s="41"/>
      <c r="V25" s="42">
        <f>IF(T25="","",U25/T25)</f>
        <v>0</v>
      </c>
    </row>
    <row r="26" spans="2:22">
      <c r="J26" s="38" t="s">
        <v>26</v>
      </c>
      <c r="K26" s="39" t="str">
        <f>IF($E$2="","",VLOOKUP($E$2,Sprachversionen!$B:$BN,23,FALSE))</f>
        <v>Rate</v>
      </c>
      <c r="L26" s="40"/>
      <c r="M26" s="41"/>
      <c r="N26" s="41"/>
      <c r="O26" s="42">
        <f>IF(M26="","",N26/M26)</f>
        <v>0</v>
      </c>
      <c r="Q26" s="38" t="s">
        <v>27</v>
      </c>
      <c r="R26" s="39" t="str">
        <f>IF($E$2="","",VLOOKUP($E$2,Sprachversionen!$B:$BN,23,FALSE))</f>
        <v>Rate</v>
      </c>
      <c r="S26" s="40"/>
      <c r="T26" s="41"/>
      <c r="U26" s="41"/>
      <c r="V26" s="42">
        <f>IF(T26="","",U26/T26)</f>
        <v>0</v>
      </c>
    </row>
    <row r="27" spans="2:22">
      <c r="J27" s="38" t="s">
        <v>28</v>
      </c>
      <c r="K27" s="39" t="str">
        <f>IF($E$2="","",VLOOKUP($E$2,Sprachversionen!$B:$BN,23,FALSE))</f>
        <v>Rate</v>
      </c>
      <c r="L27" s="40"/>
      <c r="M27" s="41"/>
      <c r="N27" s="41"/>
      <c r="O27" s="42">
        <f>IF(M27="","",N27/M27)</f>
        <v>0</v>
      </c>
      <c r="Q27" s="38" t="s">
        <v>29</v>
      </c>
      <c r="R27" s="39" t="str">
        <f>IF($E$2="","",VLOOKUP($E$2,Sprachversionen!$B:$BN,23,FALSE))</f>
        <v>Rate</v>
      </c>
      <c r="S27" s="40"/>
      <c r="T27" s="41"/>
      <c r="U27" s="41"/>
      <c r="V27" s="42">
        <f>IF(T27="","",U27/T27)</f>
        <v>0</v>
      </c>
    </row>
    <row r="28" spans="2:22">
      <c r="J28" s="38" t="s">
        <v>30</v>
      </c>
      <c r="K28" s="39" t="str">
        <f>IF($E$2="","",VLOOKUP($E$2,Sprachversionen!$B:$BN,23,FALSE))</f>
        <v>Rate</v>
      </c>
      <c r="L28" s="40"/>
      <c r="M28" s="41"/>
      <c r="N28" s="41"/>
      <c r="O28" s="42">
        <f>IF(M28="","",N28/M28)</f>
        <v>0</v>
      </c>
      <c r="Q28" s="38" t="s">
        <v>31</v>
      </c>
      <c r="R28" s="39" t="str">
        <f>IF($E$2="","",VLOOKUP($E$2,Sprachversionen!$B:$BN,23,FALSE))</f>
        <v>Rate</v>
      </c>
      <c r="S28" s="40"/>
      <c r="T28" s="41"/>
      <c r="U28" s="41"/>
      <c r="V28" s="42">
        <f>IF(T28="","",U28/T28)</f>
        <v>0</v>
      </c>
    </row>
    <row r="29" spans="2:22">
      <c r="J29" s="38" t="s">
        <v>32</v>
      </c>
      <c r="K29" s="39" t="str">
        <f>IF($E$2="","",VLOOKUP($E$2,Sprachversionen!$B:$BN,23,FALSE))</f>
        <v>Rate</v>
      </c>
      <c r="L29" s="40"/>
      <c r="M29" s="41"/>
      <c r="N29" s="41"/>
      <c r="O29" s="42">
        <f>IF(M29="","",N29/M29)</f>
        <v>0</v>
      </c>
      <c r="Q29" s="38" t="s">
        <v>33</v>
      </c>
      <c r="R29" s="39" t="str">
        <f>IF($E$2="","",VLOOKUP($E$2,Sprachversionen!$B:$BN,23,FALSE))</f>
        <v>Rate</v>
      </c>
      <c r="S29" s="40"/>
      <c r="T29" s="41"/>
      <c r="U29" s="41"/>
      <c r="V29" s="42">
        <f>IF(T29="","",U29/T29)</f>
        <v>0</v>
      </c>
    </row>
    <row r="30" spans="2:22">
      <c r="J30" s="38" t="s">
        <v>34</v>
      </c>
      <c r="K30" s="39" t="str">
        <f>IF($E$2="","",VLOOKUP($E$2,Sprachversionen!$B:$BN,23,FALSE))</f>
        <v>Rate</v>
      </c>
      <c r="L30" s="40"/>
      <c r="M30" s="41"/>
      <c r="N30" s="41"/>
      <c r="O30" s="42">
        <f>IF(M30="","",N30/M30)</f>
        <v>0</v>
      </c>
      <c r="Q30" s="38" t="s">
        <v>35</v>
      </c>
      <c r="R30" s="39" t="str">
        <f>IF($E$2="","",VLOOKUP($E$2,Sprachversionen!$B:$BN,23,FALSE))</f>
        <v>Rate</v>
      </c>
      <c r="S30" s="40"/>
      <c r="T30" s="41"/>
      <c r="U30" s="41"/>
      <c r="V30" s="42">
        <f>IF(T30="","",U30/T30)</f>
        <v>0</v>
      </c>
    </row>
    <row r="31" spans="2:22">
      <c r="J31" s="43" t="s">
        <v>36</v>
      </c>
      <c r="K31" s="44" t="str">
        <f>IF($E$2="","",VLOOKUP($E$2,Sprachversionen!$B:$BN,23,FALSE))</f>
        <v>Rate</v>
      </c>
      <c r="L31" s="45"/>
      <c r="M31" s="46"/>
      <c r="N31" s="46"/>
      <c r="O31" s="47">
        <f>IF(M31="","",N31/M31)</f>
        <v>0</v>
      </c>
      <c r="Q31" s="43" t="s">
        <v>37</v>
      </c>
      <c r="R31" s="44" t="str">
        <f>IF($E$2="","",VLOOKUP($E$2,Sprachversionen!$B:$BN,23,FALSE))</f>
        <v>Rate</v>
      </c>
      <c r="S31" s="45"/>
      <c r="T31" s="46"/>
      <c r="U31" s="46"/>
      <c r="V31" s="47">
        <f>IF(T31="","",U31/T31)</f>
        <v>0</v>
      </c>
    </row>
  </sheetData>
  <sheetProtection sheet="1" objects="1" scenarios="1"/>
  <mergeCells count="29">
    <mergeCell ref="B1:C1"/>
    <mergeCell ref="B2:C2"/>
    <mergeCell ref="J2:O3"/>
    <mergeCell ref="B3:C3"/>
    <mergeCell ref="J4:O4"/>
    <mergeCell ref="B5:C5"/>
    <mergeCell ref="B6:C7"/>
    <mergeCell ref="D6:H7"/>
    <mergeCell ref="B8:C8"/>
    <mergeCell ref="G8:H8"/>
    <mergeCell ref="B9:C9"/>
    <mergeCell ref="G9:H9"/>
    <mergeCell ref="B11:C11"/>
    <mergeCell ref="D11:D14"/>
    <mergeCell ref="E11:E14"/>
    <mergeCell ref="F11:F14"/>
    <mergeCell ref="G11:G14"/>
    <mergeCell ref="H11:H14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J11:K11"/>
    <mergeCell ref="Q11:R11"/>
  </mergeCells>
  <dataValidations count="2">
    <dataValidation type="list" allowBlank="1" showInputMessage="1" showErrorMessage="1" sqref="E2">
      <formula1>Sprachversionen!$B$1:$B$5</formula1>
    </dataValidation>
    <dataValidation type="list" allowBlank="1" showInputMessage="1" showErrorMessage="1" sqref="E3">
      <formula1>Sprachversionen!$A$1:$A$153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68" t="s">
        <v>38</v>
      </c>
      <c r="B1" s="68" t="s">
        <v>1</v>
      </c>
      <c r="C1" s="68" t="s">
        <v>39</v>
      </c>
      <c r="D1" s="68" t="s">
        <v>40</v>
      </c>
      <c r="E1" s="68" t="s">
        <v>41</v>
      </c>
      <c r="F1" s="68" t="s">
        <v>42</v>
      </c>
      <c r="G1" s="68" t="s">
        <v>43</v>
      </c>
      <c r="H1" s="68" t="s">
        <v>44</v>
      </c>
      <c r="I1" s="68" t="s">
        <v>45</v>
      </c>
      <c r="J1" s="68" t="s">
        <v>46</v>
      </c>
      <c r="K1" s="68" t="s">
        <v>47</v>
      </c>
      <c r="L1" s="68" t="s">
        <v>48</v>
      </c>
      <c r="M1" s="68" t="s">
        <v>49</v>
      </c>
      <c r="N1" s="68" t="s">
        <v>50</v>
      </c>
      <c r="O1" s="68" t="s">
        <v>51</v>
      </c>
      <c r="P1" s="68" t="s">
        <v>52</v>
      </c>
      <c r="Q1" s="68" t="s">
        <v>53</v>
      </c>
      <c r="R1" s="68" t="s">
        <v>54</v>
      </c>
      <c r="S1" s="68" t="s">
        <v>55</v>
      </c>
      <c r="T1" s="68" t="s">
        <v>56</v>
      </c>
      <c r="U1" s="68" t="s">
        <v>57</v>
      </c>
      <c r="V1" s="68" t="s">
        <v>58</v>
      </c>
      <c r="W1" s="68" t="s">
        <v>59</v>
      </c>
      <c r="X1" s="68" t="s">
        <v>60</v>
      </c>
      <c r="Y1" s="68" t="s">
        <v>61</v>
      </c>
      <c r="Z1" s="68" t="s">
        <v>62</v>
      </c>
      <c r="AA1" s="68" t="s">
        <v>63</v>
      </c>
      <c r="AB1" s="68" t="s">
        <v>64</v>
      </c>
      <c r="AC1" s="68" t="s">
        <v>65</v>
      </c>
      <c r="AD1" s="68" t="s">
        <v>66</v>
      </c>
      <c r="AE1" s="68" t="s">
        <v>67</v>
      </c>
      <c r="AF1" s="68" t="s">
        <v>68</v>
      </c>
      <c r="AG1" s="68" t="s">
        <v>69</v>
      </c>
      <c r="AH1" s="68" t="s">
        <v>70</v>
      </c>
      <c r="AI1" s="68" t="s">
        <v>71</v>
      </c>
      <c r="AJ1" s="68" t="s">
        <v>72</v>
      </c>
      <c r="AK1" s="68" t="s">
        <v>73</v>
      </c>
      <c r="AL1" s="68" t="s">
        <v>74</v>
      </c>
      <c r="AM1" s="68" t="s">
        <v>75</v>
      </c>
      <c r="AN1" s="68" t="s">
        <v>76</v>
      </c>
      <c r="AO1" s="68" t="s">
        <v>77</v>
      </c>
      <c r="AP1" s="68" t="s">
        <v>78</v>
      </c>
      <c r="AQ1" s="68" t="s">
        <v>79</v>
      </c>
      <c r="AR1" s="68" t="s">
        <v>80</v>
      </c>
      <c r="AS1" s="68" t="s">
        <v>81</v>
      </c>
      <c r="AT1" s="68" t="s">
        <v>82</v>
      </c>
      <c r="AU1" s="68" t="s">
        <v>83</v>
      </c>
      <c r="AV1" s="68" t="s">
        <v>84</v>
      </c>
      <c r="AW1" s="68" t="s">
        <v>85</v>
      </c>
      <c r="AX1" s="68" t="s">
        <v>86</v>
      </c>
      <c r="AY1" s="68" t="s">
        <v>87</v>
      </c>
      <c r="AZ1" s="68" t="s">
        <v>88</v>
      </c>
      <c r="BA1" s="68" t="s">
        <v>89</v>
      </c>
      <c r="BB1" s="68" t="s">
        <v>90</v>
      </c>
      <c r="BC1" s="68" t="s">
        <v>91</v>
      </c>
      <c r="BD1" s="68" t="s">
        <v>92</v>
      </c>
      <c r="BE1" s="68" t="s">
        <v>93</v>
      </c>
      <c r="BF1" s="68" t="s">
        <v>94</v>
      </c>
      <c r="BG1" s="68" t="s">
        <v>95</v>
      </c>
      <c r="BH1" s="68" t="s">
        <v>96</v>
      </c>
      <c r="BI1" s="68" t="s">
        <v>97</v>
      </c>
      <c r="BJ1" s="68" t="s">
        <v>98</v>
      </c>
      <c r="BK1" s="68" t="s">
        <v>99</v>
      </c>
      <c r="BL1" s="68" t="s">
        <v>100</v>
      </c>
    </row>
    <row r="2" spans="1:64">
      <c r="A2" s="68" t="s">
        <v>101</v>
      </c>
      <c r="B2" s="68" t="s">
        <v>102</v>
      </c>
      <c r="C2" s="68" t="s">
        <v>103</v>
      </c>
      <c r="D2" s="68" t="s">
        <v>104</v>
      </c>
      <c r="E2" s="68" t="s">
        <v>105</v>
      </c>
      <c r="F2" s="68" t="s">
        <v>106</v>
      </c>
      <c r="G2" s="68" t="s">
        <v>107</v>
      </c>
      <c r="H2" s="68" t="s">
        <v>108</v>
      </c>
      <c r="I2" s="68" t="s">
        <v>109</v>
      </c>
      <c r="J2" s="68" t="s">
        <v>110</v>
      </c>
      <c r="K2" s="68" t="s">
        <v>111</v>
      </c>
      <c r="L2" s="68" t="s">
        <v>112</v>
      </c>
      <c r="M2" s="68" t="s">
        <v>113</v>
      </c>
      <c r="N2" s="68" t="s">
        <v>114</v>
      </c>
      <c r="O2" s="68" t="s">
        <v>115</v>
      </c>
      <c r="P2" s="68" t="s">
        <v>116</v>
      </c>
      <c r="Q2" s="68" t="s">
        <v>117</v>
      </c>
      <c r="R2" s="68" t="s">
        <v>118</v>
      </c>
      <c r="S2" s="68" t="s">
        <v>119</v>
      </c>
      <c r="T2" s="68" t="s">
        <v>120</v>
      </c>
      <c r="U2" s="68" t="s">
        <v>121</v>
      </c>
      <c r="V2" s="68" t="s">
        <v>122</v>
      </c>
      <c r="W2" s="68" t="s">
        <v>123</v>
      </c>
      <c r="X2" s="68" t="s">
        <v>124</v>
      </c>
      <c r="Y2" s="68" t="s">
        <v>125</v>
      </c>
      <c r="Z2" s="68" t="s">
        <v>126</v>
      </c>
      <c r="AA2" s="68" t="s">
        <v>127</v>
      </c>
      <c r="AB2" s="68" t="s">
        <v>128</v>
      </c>
      <c r="AC2" s="68" t="s">
        <v>129</v>
      </c>
      <c r="AD2" s="68" t="s">
        <v>130</v>
      </c>
      <c r="AE2" s="68" t="s">
        <v>131</v>
      </c>
      <c r="AF2" s="68" t="s">
        <v>132</v>
      </c>
      <c r="AG2" s="68" t="s">
        <v>133</v>
      </c>
      <c r="AH2" s="68" t="s">
        <v>134</v>
      </c>
      <c r="AI2" s="68" t="s">
        <v>135</v>
      </c>
      <c r="AJ2" s="68" t="s">
        <v>136</v>
      </c>
      <c r="AK2" s="68" t="s">
        <v>137</v>
      </c>
      <c r="AL2" s="68" t="s">
        <v>138</v>
      </c>
      <c r="AM2" s="68" t="s">
        <v>139</v>
      </c>
      <c r="AN2" s="68" t="s">
        <v>140</v>
      </c>
      <c r="AO2" s="68" t="s">
        <v>77</v>
      </c>
      <c r="AP2" s="68" t="s">
        <v>141</v>
      </c>
      <c r="AQ2" s="68" t="s">
        <v>122</v>
      </c>
      <c r="AR2" s="68" t="s">
        <v>142</v>
      </c>
      <c r="AS2" s="68" t="s">
        <v>143</v>
      </c>
      <c r="AT2" s="68" t="s">
        <v>144</v>
      </c>
      <c r="AU2" s="68" t="s">
        <v>145</v>
      </c>
      <c r="AV2" s="68" t="s">
        <v>84</v>
      </c>
      <c r="AW2" s="68" t="s">
        <v>146</v>
      </c>
      <c r="AX2" s="68" t="s">
        <v>147</v>
      </c>
      <c r="AY2" s="68" t="s">
        <v>148</v>
      </c>
      <c r="AZ2" s="68" t="s">
        <v>149</v>
      </c>
      <c r="BA2" s="68" t="s">
        <v>150</v>
      </c>
      <c r="BB2" s="68" t="s">
        <v>151</v>
      </c>
      <c r="BC2" s="68" t="s">
        <v>152</v>
      </c>
      <c r="BD2" s="68" t="s">
        <v>153</v>
      </c>
      <c r="BE2" s="68" t="s">
        <v>154</v>
      </c>
      <c r="BF2" s="68" t="s">
        <v>155</v>
      </c>
      <c r="BG2" s="68" t="s">
        <v>156</v>
      </c>
      <c r="BH2" s="68" t="s">
        <v>157</v>
      </c>
      <c r="BI2" s="68" t="s">
        <v>158</v>
      </c>
      <c r="BJ2" s="68" t="s">
        <v>159</v>
      </c>
      <c r="BK2" s="68" t="s">
        <v>160</v>
      </c>
      <c r="BL2" s="68" t="s">
        <v>100</v>
      </c>
    </row>
    <row r="3" spans="1:64">
      <c r="A3" s="68" t="s">
        <v>161</v>
      </c>
      <c r="B3" s="68" t="s">
        <v>162</v>
      </c>
      <c r="C3" s="68" t="s">
        <v>163</v>
      </c>
      <c r="D3" s="68" t="s">
        <v>164</v>
      </c>
      <c r="E3" s="68" t="s">
        <v>165</v>
      </c>
      <c r="F3" s="68" t="s">
        <v>166</v>
      </c>
      <c r="G3" s="68" t="s">
        <v>167</v>
      </c>
      <c r="H3" s="68" t="s">
        <v>168</v>
      </c>
      <c r="I3" s="68" t="s">
        <v>168</v>
      </c>
      <c r="J3" s="68" t="s">
        <v>169</v>
      </c>
      <c r="K3" s="68" t="s">
        <v>170</v>
      </c>
      <c r="L3" s="68" t="s">
        <v>171</v>
      </c>
      <c r="M3" s="68" t="s">
        <v>172</v>
      </c>
      <c r="N3" s="68" t="s">
        <v>173</v>
      </c>
      <c r="O3" s="68" t="s">
        <v>174</v>
      </c>
      <c r="P3" s="68" t="s">
        <v>175</v>
      </c>
      <c r="Q3" s="68" t="s">
        <v>176</v>
      </c>
      <c r="R3" s="68" t="s">
        <v>177</v>
      </c>
      <c r="S3" s="68" t="s">
        <v>178</v>
      </c>
      <c r="T3" s="68" t="s">
        <v>179</v>
      </c>
      <c r="U3" s="68" t="s">
        <v>180</v>
      </c>
      <c r="V3" s="68" t="s">
        <v>181</v>
      </c>
      <c r="W3" s="68" t="s">
        <v>123</v>
      </c>
      <c r="X3" s="68" t="s">
        <v>182</v>
      </c>
      <c r="Y3" s="68" t="s">
        <v>183</v>
      </c>
      <c r="Z3" s="68" t="s">
        <v>184</v>
      </c>
      <c r="AA3" s="68" t="s">
        <v>185</v>
      </c>
      <c r="AB3" s="68" t="s">
        <v>186</v>
      </c>
      <c r="AC3" s="68" t="s">
        <v>187</v>
      </c>
      <c r="AD3" s="68" t="s">
        <v>188</v>
      </c>
      <c r="AE3" s="68" t="s">
        <v>189</v>
      </c>
      <c r="AF3" s="68" t="s">
        <v>190</v>
      </c>
      <c r="AG3" s="68" t="s">
        <v>191</v>
      </c>
      <c r="AH3" s="68" t="s">
        <v>192</v>
      </c>
      <c r="AI3" s="68" t="s">
        <v>193</v>
      </c>
      <c r="AJ3" s="68" t="s">
        <v>194</v>
      </c>
      <c r="AK3" s="68" t="s">
        <v>195</v>
      </c>
      <c r="AL3" s="68" t="s">
        <v>196</v>
      </c>
      <c r="AM3" s="68" t="s">
        <v>197</v>
      </c>
      <c r="AN3" s="68" t="s">
        <v>140</v>
      </c>
      <c r="AO3" s="68" t="s">
        <v>77</v>
      </c>
      <c r="AP3" s="68" t="s">
        <v>198</v>
      </c>
      <c r="AQ3" s="68" t="s">
        <v>181</v>
      </c>
      <c r="AR3" s="68" t="s">
        <v>199</v>
      </c>
      <c r="AS3" s="68" t="s">
        <v>200</v>
      </c>
      <c r="AT3" s="68" t="s">
        <v>201</v>
      </c>
      <c r="AU3" s="68" t="s">
        <v>202</v>
      </c>
      <c r="AV3" s="68" t="s">
        <v>203</v>
      </c>
      <c r="AW3" s="68" t="s">
        <v>204</v>
      </c>
      <c r="AX3" s="68" t="s">
        <v>205</v>
      </c>
      <c r="AY3" s="68" t="s">
        <v>206</v>
      </c>
      <c r="AZ3" s="68" t="s">
        <v>207</v>
      </c>
      <c r="BA3" s="68" t="s">
        <v>208</v>
      </c>
      <c r="BB3" s="68" t="s">
        <v>209</v>
      </c>
      <c r="BC3" s="68" t="s">
        <v>210</v>
      </c>
      <c r="BD3" s="68" t="s">
        <v>211</v>
      </c>
      <c r="BE3" s="68" t="s">
        <v>212</v>
      </c>
      <c r="BF3" s="68" t="s">
        <v>213</v>
      </c>
      <c r="BG3" s="68" t="s">
        <v>214</v>
      </c>
      <c r="BH3" s="68" t="s">
        <v>215</v>
      </c>
      <c r="BI3" s="68" t="s">
        <v>216</v>
      </c>
      <c r="BJ3" s="68" t="s">
        <v>217</v>
      </c>
      <c r="BK3" s="68" t="s">
        <v>218</v>
      </c>
      <c r="BL3" s="68" t="s">
        <v>100</v>
      </c>
    </row>
    <row r="4" spans="1:64">
      <c r="A4" s="68" t="s">
        <v>219</v>
      </c>
      <c r="B4" s="68" t="s">
        <v>220</v>
      </c>
      <c r="C4" s="68" t="s">
        <v>221</v>
      </c>
      <c r="D4" s="68" t="s">
        <v>222</v>
      </c>
      <c r="E4" s="68" t="s">
        <v>223</v>
      </c>
      <c r="F4" s="68" t="s">
        <v>224</v>
      </c>
      <c r="G4" s="68" t="s">
        <v>225</v>
      </c>
      <c r="H4" s="68" t="s">
        <v>226</v>
      </c>
      <c r="I4" s="68" t="s">
        <v>227</v>
      </c>
      <c r="J4" s="68" t="s">
        <v>228</v>
      </c>
      <c r="K4" s="68" t="s">
        <v>229</v>
      </c>
      <c r="L4" s="68" t="s">
        <v>230</v>
      </c>
      <c r="M4" s="68" t="s">
        <v>231</v>
      </c>
      <c r="N4" s="68" t="s">
        <v>232</v>
      </c>
      <c r="O4" s="68" t="s">
        <v>233</v>
      </c>
      <c r="P4" s="68" t="s">
        <v>234</v>
      </c>
      <c r="Q4" s="68" t="s">
        <v>235</v>
      </c>
      <c r="R4" s="68" t="s">
        <v>236</v>
      </c>
      <c r="S4" s="68" t="s">
        <v>237</v>
      </c>
      <c r="T4" s="68" t="s">
        <v>238</v>
      </c>
      <c r="U4" s="68" t="s">
        <v>239</v>
      </c>
      <c r="V4" s="68" t="s">
        <v>181</v>
      </c>
      <c r="W4" s="68" t="s">
        <v>240</v>
      </c>
      <c r="X4" s="68" t="s">
        <v>241</v>
      </c>
      <c r="Y4" s="68" t="s">
        <v>242</v>
      </c>
      <c r="Z4" s="68" t="s">
        <v>243</v>
      </c>
      <c r="AA4" s="68" t="s">
        <v>244</v>
      </c>
      <c r="AB4" s="68" t="s">
        <v>245</v>
      </c>
      <c r="AC4" s="68" t="s">
        <v>246</v>
      </c>
      <c r="AD4" s="68" t="s">
        <v>247</v>
      </c>
      <c r="AE4" s="68" t="s">
        <v>248</v>
      </c>
      <c r="AF4" s="68" t="s">
        <v>249</v>
      </c>
      <c r="AG4" s="68" t="s">
        <v>250</v>
      </c>
      <c r="AH4" s="68" t="s">
        <v>251</v>
      </c>
      <c r="AI4" s="68" t="s">
        <v>252</v>
      </c>
      <c r="AJ4" s="68" t="s">
        <v>253</v>
      </c>
      <c r="AK4" s="68" t="s">
        <v>254</v>
      </c>
      <c r="AL4" s="68" t="s">
        <v>255</v>
      </c>
      <c r="AM4" s="68" t="s">
        <v>256</v>
      </c>
      <c r="AN4" s="68" t="s">
        <v>257</v>
      </c>
      <c r="AO4" s="68" t="s">
        <v>258</v>
      </c>
      <c r="AP4" s="68" t="s">
        <v>259</v>
      </c>
      <c r="AQ4" s="68" t="s">
        <v>122</v>
      </c>
      <c r="AR4" s="68" t="s">
        <v>260</v>
      </c>
      <c r="AS4" s="68" t="s">
        <v>261</v>
      </c>
      <c r="AT4" s="68" t="s">
        <v>262</v>
      </c>
      <c r="AU4" s="68" t="s">
        <v>263</v>
      </c>
      <c r="AV4" s="68" t="s">
        <v>264</v>
      </c>
      <c r="AW4" s="68" t="s">
        <v>265</v>
      </c>
      <c r="AX4" s="68" t="s">
        <v>266</v>
      </c>
      <c r="AY4" s="68" t="s">
        <v>267</v>
      </c>
      <c r="AZ4" s="68" t="s">
        <v>268</v>
      </c>
      <c r="BA4" s="68" t="s">
        <v>269</v>
      </c>
      <c r="BB4" s="68" t="s">
        <v>270</v>
      </c>
      <c r="BC4" s="68" t="s">
        <v>271</v>
      </c>
      <c r="BD4" s="68" t="s">
        <v>272</v>
      </c>
      <c r="BE4" s="68" t="s">
        <v>273</v>
      </c>
      <c r="BF4" s="68" t="s">
        <v>274</v>
      </c>
      <c r="BG4" s="68" t="s">
        <v>214</v>
      </c>
      <c r="BH4" s="68" t="s">
        <v>275</v>
      </c>
      <c r="BI4" s="68" t="s">
        <v>276</v>
      </c>
      <c r="BJ4" s="68" t="s">
        <v>277</v>
      </c>
      <c r="BK4" s="68" t="s">
        <v>278</v>
      </c>
      <c r="BL4" s="68" t="s">
        <v>100</v>
      </c>
    </row>
    <row r="5" spans="1:64">
      <c r="A5" s="68" t="s">
        <v>279</v>
      </c>
      <c r="B5" s="68" t="s">
        <v>280</v>
      </c>
      <c r="C5" s="68" t="s">
        <v>281</v>
      </c>
      <c r="D5" s="68" t="s">
        <v>282</v>
      </c>
      <c r="E5" s="68" t="s">
        <v>283</v>
      </c>
      <c r="F5" s="68" t="s">
        <v>284</v>
      </c>
      <c r="G5" s="68" t="s">
        <v>285</v>
      </c>
      <c r="H5" s="68" t="s">
        <v>226</v>
      </c>
      <c r="I5" s="68" t="s">
        <v>286</v>
      </c>
      <c r="J5" s="68" t="s">
        <v>287</v>
      </c>
      <c r="K5" s="68" t="s">
        <v>288</v>
      </c>
      <c r="L5" s="68" t="s">
        <v>289</v>
      </c>
      <c r="M5" s="68" t="s">
        <v>290</v>
      </c>
      <c r="N5" s="68" t="s">
        <v>291</v>
      </c>
      <c r="O5" s="68" t="s">
        <v>292</v>
      </c>
      <c r="P5" s="68" t="s">
        <v>293</v>
      </c>
      <c r="Q5" s="68" t="s">
        <v>294</v>
      </c>
      <c r="R5" s="68" t="s">
        <v>295</v>
      </c>
      <c r="S5" s="68" t="s">
        <v>296</v>
      </c>
      <c r="T5" s="68" t="s">
        <v>297</v>
      </c>
      <c r="U5" s="68" t="s">
        <v>298</v>
      </c>
      <c r="V5" s="68" t="s">
        <v>181</v>
      </c>
      <c r="W5" s="68" t="s">
        <v>299</v>
      </c>
      <c r="X5" s="68" t="s">
        <v>300</v>
      </c>
      <c r="Y5" s="68" t="s">
        <v>301</v>
      </c>
      <c r="Z5" s="68" t="s">
        <v>302</v>
      </c>
      <c r="AA5" s="68" t="s">
        <v>303</v>
      </c>
      <c r="AB5" s="68" t="s">
        <v>245</v>
      </c>
      <c r="AC5" s="68" t="s">
        <v>304</v>
      </c>
      <c r="AD5" s="68" t="s">
        <v>305</v>
      </c>
      <c r="AE5" s="68" t="s">
        <v>306</v>
      </c>
      <c r="AF5" s="68" t="s">
        <v>307</v>
      </c>
      <c r="AG5" s="68" t="s">
        <v>308</v>
      </c>
      <c r="AH5" s="68" t="s">
        <v>309</v>
      </c>
      <c r="AI5" s="68" t="s">
        <v>310</v>
      </c>
      <c r="AJ5" s="68" t="s">
        <v>311</v>
      </c>
      <c r="AK5" s="68" t="s">
        <v>312</v>
      </c>
      <c r="AL5" s="68" t="s">
        <v>313</v>
      </c>
      <c r="AM5" s="68" t="s">
        <v>314</v>
      </c>
      <c r="AN5" s="68" t="s">
        <v>315</v>
      </c>
      <c r="AO5" s="68" t="s">
        <v>316</v>
      </c>
      <c r="AP5" s="68" t="s">
        <v>317</v>
      </c>
      <c r="AQ5" s="68" t="s">
        <v>122</v>
      </c>
      <c r="AR5" s="68" t="s">
        <v>318</v>
      </c>
      <c r="AS5" s="68" t="s">
        <v>319</v>
      </c>
      <c r="AT5" s="68" t="s">
        <v>320</v>
      </c>
      <c r="AU5" s="68" t="s">
        <v>321</v>
      </c>
      <c r="AV5" s="68" t="s">
        <v>264</v>
      </c>
      <c r="AW5" s="68" t="s">
        <v>322</v>
      </c>
      <c r="AX5" s="68" t="s">
        <v>323</v>
      </c>
      <c r="AY5" s="68" t="s">
        <v>324</v>
      </c>
      <c r="AZ5" s="68" t="s">
        <v>325</v>
      </c>
      <c r="BA5" s="68" t="s">
        <v>326</v>
      </c>
      <c r="BB5" s="68" t="s">
        <v>327</v>
      </c>
      <c r="BC5" s="68" t="s">
        <v>328</v>
      </c>
      <c r="BD5" s="68" t="s">
        <v>329</v>
      </c>
      <c r="BE5" s="68" t="s">
        <v>330</v>
      </c>
      <c r="BF5" s="68" t="s">
        <v>331</v>
      </c>
      <c r="BG5" s="68" t="s">
        <v>214</v>
      </c>
      <c r="BH5" s="68" t="s">
        <v>332</v>
      </c>
      <c r="BI5" s="68" t="s">
        <v>333</v>
      </c>
      <c r="BJ5" s="68" t="s">
        <v>334</v>
      </c>
      <c r="BK5" s="68" t="s">
        <v>335</v>
      </c>
      <c r="BL5" s="68" t="s">
        <v>100</v>
      </c>
    </row>
    <row r="6" spans="1:64">
      <c r="A6" s="68" t="s">
        <v>336</v>
      </c>
    </row>
    <row r="7" spans="1:64">
      <c r="A7" s="68" t="s">
        <v>337</v>
      </c>
    </row>
    <row r="8" spans="1:64">
      <c r="A8" s="68" t="s">
        <v>338</v>
      </c>
    </row>
    <row r="9" spans="1:64">
      <c r="A9" s="68" t="s">
        <v>339</v>
      </c>
    </row>
    <row r="10" spans="1:64">
      <c r="A10" s="68" t="s">
        <v>340</v>
      </c>
    </row>
    <row r="11" spans="1:64">
      <c r="A11" s="68" t="s">
        <v>341</v>
      </c>
    </row>
    <row r="12" spans="1:64">
      <c r="A12" s="68" t="s">
        <v>342</v>
      </c>
    </row>
    <row r="13" spans="1:64">
      <c r="A13" s="68" t="s">
        <v>343</v>
      </c>
    </row>
    <row r="14" spans="1:64">
      <c r="A14" s="68" t="s">
        <v>344</v>
      </c>
    </row>
    <row r="15" spans="1:64">
      <c r="A15" s="68" t="s">
        <v>345</v>
      </c>
    </row>
    <row r="16" spans="1:64">
      <c r="A16" s="68" t="s">
        <v>346</v>
      </c>
    </row>
    <row r="17" spans="1:1">
      <c r="A17" s="68" t="s">
        <v>347</v>
      </c>
    </row>
    <row r="18" spans="1:1">
      <c r="A18" s="68" t="s">
        <v>348</v>
      </c>
    </row>
    <row r="19" spans="1:1">
      <c r="A19" s="68" t="s">
        <v>349</v>
      </c>
    </row>
    <row r="20" spans="1:1">
      <c r="A20" s="68" t="s">
        <v>350</v>
      </c>
    </row>
    <row r="21" spans="1:1">
      <c r="A21" s="68" t="s">
        <v>351</v>
      </c>
    </row>
    <row r="22" spans="1:1">
      <c r="A22" s="68" t="s">
        <v>352</v>
      </c>
    </row>
    <row r="23" spans="1:1">
      <c r="A23" s="68" t="s">
        <v>353</v>
      </c>
    </row>
    <row r="24" spans="1:1">
      <c r="A24" s="68" t="s">
        <v>354</v>
      </c>
    </row>
    <row r="25" spans="1:1">
      <c r="A25" s="68" t="s">
        <v>355</v>
      </c>
    </row>
    <row r="26" spans="1:1">
      <c r="A26" s="68" t="s">
        <v>356</v>
      </c>
    </row>
    <row r="27" spans="1:1">
      <c r="A27" s="68" t="s">
        <v>357</v>
      </c>
    </row>
    <row r="28" spans="1:1">
      <c r="A28" s="68" t="s">
        <v>358</v>
      </c>
    </row>
    <row r="29" spans="1:1">
      <c r="A29" s="68" t="s">
        <v>359</v>
      </c>
    </row>
    <row r="30" spans="1:1">
      <c r="A30" s="68" t="s">
        <v>360</v>
      </c>
    </row>
    <row r="31" spans="1:1">
      <c r="A31" s="68" t="s">
        <v>361</v>
      </c>
    </row>
    <row r="32" spans="1:1">
      <c r="A32" s="68" t="s">
        <v>362</v>
      </c>
    </row>
    <row r="33" spans="1:1">
      <c r="A33" s="68" t="s">
        <v>363</v>
      </c>
    </row>
    <row r="34" spans="1:1">
      <c r="A34" s="68" t="s">
        <v>364</v>
      </c>
    </row>
    <row r="35" spans="1:1">
      <c r="A35" s="68" t="s">
        <v>365</v>
      </c>
    </row>
    <row r="36" spans="1:1">
      <c r="A36" s="68" t="s">
        <v>366</v>
      </c>
    </row>
    <row r="37" spans="1:1">
      <c r="A37" s="68" t="s">
        <v>367</v>
      </c>
    </row>
    <row r="38" spans="1:1">
      <c r="A38" s="68" t="s">
        <v>368</v>
      </c>
    </row>
    <row r="39" spans="1:1">
      <c r="A39" s="68" t="s">
        <v>369</v>
      </c>
    </row>
    <row r="40" spans="1:1">
      <c r="A40" s="68" t="s">
        <v>370</v>
      </c>
    </row>
    <row r="41" spans="1:1">
      <c r="A41" s="68" t="s">
        <v>371</v>
      </c>
    </row>
    <row r="42" spans="1:1">
      <c r="A42" s="68" t="s">
        <v>372</v>
      </c>
    </row>
    <row r="43" spans="1:1">
      <c r="A43" s="68" t="s">
        <v>373</v>
      </c>
    </row>
    <row r="44" spans="1:1">
      <c r="A44" s="68" t="s">
        <v>374</v>
      </c>
    </row>
    <row r="45" spans="1:1">
      <c r="A45" s="68" t="s">
        <v>375</v>
      </c>
    </row>
    <row r="46" spans="1:1">
      <c r="A46" s="68" t="s">
        <v>376</v>
      </c>
    </row>
    <row r="47" spans="1:1">
      <c r="A47" s="68" t="s">
        <v>377</v>
      </c>
    </row>
    <row r="48" spans="1:1">
      <c r="A48" s="68" t="s">
        <v>378</v>
      </c>
    </row>
    <row r="49" spans="1:1">
      <c r="A49" s="68" t="s">
        <v>379</v>
      </c>
    </row>
    <row r="50" spans="1:1">
      <c r="A50" s="68" t="s">
        <v>380</v>
      </c>
    </row>
    <row r="51" spans="1:1">
      <c r="A51" s="68" t="s">
        <v>381</v>
      </c>
    </row>
    <row r="52" spans="1:1">
      <c r="A52" s="68" t="s">
        <v>382</v>
      </c>
    </row>
    <row r="53" spans="1:1">
      <c r="A53" s="68" t="s">
        <v>383</v>
      </c>
    </row>
    <row r="54" spans="1:1">
      <c r="A54" s="68" t="s">
        <v>384</v>
      </c>
    </row>
    <row r="55" spans="1:1">
      <c r="A55" s="68" t="s">
        <v>385</v>
      </c>
    </row>
    <row r="56" spans="1:1">
      <c r="A56" s="68" t="s">
        <v>386</v>
      </c>
    </row>
    <row r="57" spans="1:1">
      <c r="A57" s="68" t="s">
        <v>387</v>
      </c>
    </row>
    <row r="58" spans="1:1">
      <c r="A58" s="68" t="s">
        <v>388</v>
      </c>
    </row>
    <row r="59" spans="1:1">
      <c r="A59" s="68" t="s">
        <v>389</v>
      </c>
    </row>
    <row r="60" spans="1:1">
      <c r="A60" s="68" t="s">
        <v>390</v>
      </c>
    </row>
    <row r="61" spans="1:1">
      <c r="A61" s="68" t="s">
        <v>391</v>
      </c>
    </row>
    <row r="62" spans="1:1">
      <c r="A62" s="68" t="s">
        <v>392</v>
      </c>
    </row>
    <row r="63" spans="1:1">
      <c r="A63" s="68" t="s">
        <v>393</v>
      </c>
    </row>
    <row r="64" spans="1:1">
      <c r="A64" s="68" t="s">
        <v>394</v>
      </c>
    </row>
    <row r="65" spans="1:1">
      <c r="A65" s="68" t="s">
        <v>395</v>
      </c>
    </row>
    <row r="66" spans="1:1">
      <c r="A66" s="68" t="s">
        <v>396</v>
      </c>
    </row>
    <row r="67" spans="1:1">
      <c r="A67" s="68" t="s">
        <v>397</v>
      </c>
    </row>
    <row r="68" spans="1:1">
      <c r="A68" s="68" t="s">
        <v>398</v>
      </c>
    </row>
    <row r="69" spans="1:1">
      <c r="A69" s="68" t="s">
        <v>399</v>
      </c>
    </row>
    <row r="70" spans="1:1">
      <c r="A70" s="68" t="s">
        <v>400</v>
      </c>
    </row>
    <row r="71" spans="1:1">
      <c r="A71" s="68" t="s">
        <v>401</v>
      </c>
    </row>
    <row r="72" spans="1:1">
      <c r="A72" s="68" t="s">
        <v>402</v>
      </c>
    </row>
    <row r="73" spans="1:1">
      <c r="A73" s="68" t="s">
        <v>403</v>
      </c>
    </row>
    <row r="74" spans="1:1">
      <c r="A74" s="68" t="s">
        <v>404</v>
      </c>
    </row>
    <row r="75" spans="1:1">
      <c r="A75" s="68" t="s">
        <v>405</v>
      </c>
    </row>
    <row r="76" spans="1:1">
      <c r="A76" s="68" t="s">
        <v>406</v>
      </c>
    </row>
    <row r="77" spans="1:1">
      <c r="A77" s="68" t="s">
        <v>407</v>
      </c>
    </row>
    <row r="78" spans="1:1">
      <c r="A78" s="68" t="s">
        <v>408</v>
      </c>
    </row>
    <row r="79" spans="1:1">
      <c r="A79" s="68" t="s">
        <v>409</v>
      </c>
    </row>
    <row r="80" spans="1:1">
      <c r="A80" s="68" t="s">
        <v>410</v>
      </c>
    </row>
    <row r="81" spans="1:1">
      <c r="A81" s="68" t="s">
        <v>411</v>
      </c>
    </row>
    <row r="82" spans="1:1">
      <c r="A82" s="68" t="s">
        <v>412</v>
      </c>
    </row>
    <row r="83" spans="1:1">
      <c r="A83" s="68" t="s">
        <v>413</v>
      </c>
    </row>
    <row r="84" spans="1:1">
      <c r="A84" s="68" t="s">
        <v>414</v>
      </c>
    </row>
    <row r="85" spans="1:1">
      <c r="A85" s="68" t="s">
        <v>415</v>
      </c>
    </row>
    <row r="86" spans="1:1">
      <c r="A86" s="68" t="s">
        <v>416</v>
      </c>
    </row>
    <row r="87" spans="1:1">
      <c r="A87" s="68" t="s">
        <v>417</v>
      </c>
    </row>
    <row r="88" spans="1:1">
      <c r="A88" s="68" t="s">
        <v>418</v>
      </c>
    </row>
    <row r="89" spans="1:1">
      <c r="A89" s="68" t="s">
        <v>419</v>
      </c>
    </row>
    <row r="90" spans="1:1">
      <c r="A90" s="68" t="s">
        <v>420</v>
      </c>
    </row>
    <row r="91" spans="1:1">
      <c r="A91" s="68" t="s">
        <v>421</v>
      </c>
    </row>
    <row r="92" spans="1:1">
      <c r="A92" s="68" t="s">
        <v>422</v>
      </c>
    </row>
    <row r="93" spans="1:1">
      <c r="A93" s="68" t="s">
        <v>423</v>
      </c>
    </row>
    <row r="94" spans="1:1">
      <c r="A94" s="68" t="s">
        <v>424</v>
      </c>
    </row>
    <row r="95" spans="1:1">
      <c r="A95" s="68" t="s">
        <v>425</v>
      </c>
    </row>
    <row r="96" spans="1:1">
      <c r="A96" s="68" t="s">
        <v>426</v>
      </c>
    </row>
    <row r="97" spans="1:1">
      <c r="A97" s="68" t="s">
        <v>427</v>
      </c>
    </row>
    <row r="98" spans="1:1">
      <c r="A98" s="68" t="s">
        <v>428</v>
      </c>
    </row>
    <row r="99" spans="1:1">
      <c r="A99" s="68" t="s">
        <v>429</v>
      </c>
    </row>
    <row r="100" spans="1:1">
      <c r="A100" s="68" t="s">
        <v>430</v>
      </c>
    </row>
    <row r="101" spans="1:1">
      <c r="A101" s="68" t="s">
        <v>431</v>
      </c>
    </row>
    <row r="102" spans="1:1">
      <c r="A102" s="68" t="s">
        <v>432</v>
      </c>
    </row>
    <row r="103" spans="1:1">
      <c r="A103" s="68" t="s">
        <v>433</v>
      </c>
    </row>
    <row r="104" spans="1:1">
      <c r="A104" s="68" t="s">
        <v>434</v>
      </c>
    </row>
    <row r="105" spans="1:1">
      <c r="A105" s="68" t="s">
        <v>435</v>
      </c>
    </row>
    <row r="106" spans="1:1">
      <c r="A106" s="68" t="s">
        <v>436</v>
      </c>
    </row>
    <row r="107" spans="1:1">
      <c r="A107" s="68" t="s">
        <v>437</v>
      </c>
    </row>
    <row r="108" spans="1:1">
      <c r="A108" s="68" t="s">
        <v>438</v>
      </c>
    </row>
    <row r="109" spans="1:1">
      <c r="A109" s="68" t="s">
        <v>439</v>
      </c>
    </row>
    <row r="110" spans="1:1">
      <c r="A110" s="68" t="s">
        <v>440</v>
      </c>
    </row>
    <row r="111" spans="1:1">
      <c r="A111" s="68" t="s">
        <v>441</v>
      </c>
    </row>
    <row r="112" spans="1:1">
      <c r="A112" s="68" t="s">
        <v>442</v>
      </c>
    </row>
    <row r="113" spans="1:1">
      <c r="A113" s="68" t="s">
        <v>443</v>
      </c>
    </row>
    <row r="114" spans="1:1">
      <c r="A114" s="68" t="s">
        <v>444</v>
      </c>
    </row>
    <row r="115" spans="1:1">
      <c r="A115" s="68" t="s">
        <v>445</v>
      </c>
    </row>
    <row r="116" spans="1:1">
      <c r="A116" s="68" t="s">
        <v>446</v>
      </c>
    </row>
    <row r="117" spans="1:1">
      <c r="A117" s="68" t="s">
        <v>447</v>
      </c>
    </row>
    <row r="118" spans="1:1">
      <c r="A118" s="68" t="s">
        <v>448</v>
      </c>
    </row>
    <row r="119" spans="1:1">
      <c r="A119" s="68" t="s">
        <v>449</v>
      </c>
    </row>
    <row r="120" spans="1:1">
      <c r="A120" s="68" t="s">
        <v>450</v>
      </c>
    </row>
    <row r="121" spans="1:1">
      <c r="A121" s="68" t="s">
        <v>451</v>
      </c>
    </row>
    <row r="122" spans="1:1">
      <c r="A122" s="68" t="s">
        <v>452</v>
      </c>
    </row>
    <row r="123" spans="1:1">
      <c r="A123" s="68" t="s">
        <v>453</v>
      </c>
    </row>
    <row r="124" spans="1:1">
      <c r="A124" s="68" t="s">
        <v>454</v>
      </c>
    </row>
    <row r="125" spans="1:1">
      <c r="A125" s="68" t="s">
        <v>455</v>
      </c>
    </row>
    <row r="126" spans="1:1">
      <c r="A126" s="68" t="s">
        <v>456</v>
      </c>
    </row>
    <row r="127" spans="1:1">
      <c r="A127" s="68" t="s">
        <v>457</v>
      </c>
    </row>
    <row r="128" spans="1:1">
      <c r="A128" s="68" t="s">
        <v>458</v>
      </c>
    </row>
    <row r="129" spans="1:1">
      <c r="A129" s="68" t="s">
        <v>459</v>
      </c>
    </row>
    <row r="130" spans="1:1">
      <c r="A130" s="68" t="s">
        <v>460</v>
      </c>
    </row>
    <row r="131" spans="1:1">
      <c r="A131" s="68" t="s">
        <v>461</v>
      </c>
    </row>
    <row r="132" spans="1:1">
      <c r="A132" s="68" t="s">
        <v>462</v>
      </c>
    </row>
    <row r="133" spans="1:1">
      <c r="A133" s="68" t="s">
        <v>463</v>
      </c>
    </row>
    <row r="134" spans="1:1">
      <c r="A134" s="68" t="s">
        <v>464</v>
      </c>
    </row>
    <row r="135" spans="1:1">
      <c r="A135" s="68" t="s">
        <v>465</v>
      </c>
    </row>
    <row r="136" spans="1:1">
      <c r="A136" s="68" t="s">
        <v>466</v>
      </c>
    </row>
    <row r="137" spans="1:1">
      <c r="A137" s="68" t="s">
        <v>467</v>
      </c>
    </row>
    <row r="138" spans="1:1">
      <c r="A138" s="68" t="s">
        <v>468</v>
      </c>
    </row>
    <row r="139" spans="1:1">
      <c r="A139" s="68" t="s">
        <v>469</v>
      </c>
    </row>
    <row r="140" spans="1:1">
      <c r="A140" s="68" t="s">
        <v>470</v>
      </c>
    </row>
    <row r="141" spans="1:1">
      <c r="A141" s="68" t="s">
        <v>471</v>
      </c>
    </row>
    <row r="142" spans="1:1">
      <c r="A142" s="68" t="s">
        <v>472</v>
      </c>
    </row>
    <row r="143" spans="1:1">
      <c r="A143" s="68" t="s">
        <v>473</v>
      </c>
    </row>
    <row r="144" spans="1:1">
      <c r="A144" s="68" t="s">
        <v>474</v>
      </c>
    </row>
    <row r="145" spans="1:1">
      <c r="A145" s="68" t="s">
        <v>475</v>
      </c>
    </row>
    <row r="146" spans="1:1">
      <c r="A146" s="68" t="s">
        <v>476</v>
      </c>
    </row>
    <row r="147" spans="1:1">
      <c r="A147" s="68" t="s">
        <v>477</v>
      </c>
    </row>
    <row r="148" spans="1:1">
      <c r="A148" s="68" t="s">
        <v>478</v>
      </c>
    </row>
    <row r="149" spans="1:1">
      <c r="A149" s="68" t="s">
        <v>479</v>
      </c>
    </row>
    <row r="150" spans="1:1">
      <c r="A150" s="68" t="s">
        <v>480</v>
      </c>
    </row>
    <row r="151" spans="1:1">
      <c r="A151" s="68" t="s">
        <v>481</v>
      </c>
    </row>
    <row r="152" spans="1:1">
      <c r="A152" s="68" t="s">
        <v>482</v>
      </c>
    </row>
    <row r="153" spans="1:1">
      <c r="A153" s="68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Finanzbericht</vt:lpstr>
      <vt:lpstr>Sprachversionen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2026-01-19T23:04:29Z</dcterms:created>
  <dcterms:modified xsi:type="dcterms:W3CDTF">2026-01-19T23:04:29Z</dcterms:modified>
</cp:coreProperties>
</file>