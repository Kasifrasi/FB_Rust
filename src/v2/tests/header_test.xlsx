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state="hidden" r:id="rId2"/>
  </sheets>
  <calcPr calcId="124519" fullCalcOnLoad="1"/>
</workbook>
</file>

<file path=xl/sharedStrings.xml><?xml version="1.0" encoding="utf-8"?>
<sst xmlns="http://schemas.openxmlformats.org/spreadsheetml/2006/main" count="467" uniqueCount="448">
  <si>
    <t>_de</t>
  </si>
  <si>
    <t>deutsch</t>
  </si>
  <si>
    <t>Euro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</si>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</sst>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3">
    <numFmt numFmtId="164" formatCode="mm-dd-yy"/>
    <numFmt numFmtId="165" formatCode="#,##0.00"/>
    <numFmt numFmtId="166" formatCode="0%"/>
  </numFmts>
  <fonts count="5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1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1" xfId="0" applyFont="1" applyBorder="1"/>
    <xf numFmtId="0" fontId="2" fillId="0" borderId="2" xfId="0" applyFont="1" applyBorder="1"/>
    <xf numFmtId="0" fontId="3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 vertical="top" wrapText="1"/>
    </xf>
    <xf numFmtId="0" fontId="4" fillId="0" borderId="4" xfId="0" applyFont="1" applyBorder="1" applyAlignment="1">
      <alignment horizontal="left"/>
    </xf>
    <xf numFmtId="0" fontId="2" fillId="0" borderId="0" xfId="0" applyFont="1" applyAlignment="1">
      <alignment horizontal="left" vertical="center"/>
    </xf>
    <xf numFmtId="0" fontId="2" fillId="2" borderId="5" xfId="0" applyFont="1" applyFill="1" applyBorder="1"/>
    <xf numFmtId="0" fontId="2" fillId="2" borderId="5" xfId="0" applyFont="1" applyFill="1" applyBorder="1" applyAlignment="1">
      <alignment horizontal="left" vertical="top" wrapText="1"/>
    </xf>
    <xf numFmtId="164" fontId="2" fillId="2" borderId="5" xfId="0" applyNumberFormat="1" applyFont="1" applyFill="1" applyBorder="1" applyAlignment="1">
      <alignment horizontal="left"/>
    </xf>
    <xf numFmtId="0" fontId="2" fillId="3" borderId="6" xfId="0" applyFont="1" applyFill="1" applyBorder="1"/>
    <xf numFmtId="0" fontId="2" fillId="4" borderId="6" xfId="0" applyFont="1" applyFill="1" applyBorder="1"/>
    <xf numFmtId="0" fontId="2" fillId="2" borderId="6" xfId="0" applyFont="1" applyFill="1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/>
    <xf numFmtId="0" fontId="2" fillId="3" borderId="14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left"/>
    </xf>
    <xf numFmtId="0" fontId="2" fillId="0" borderId="5" xfId="0" applyFont="1" applyBorder="1"/>
    <xf numFmtId="0" fontId="1" fillId="0" borderId="15" xfId="0" applyFont="1" applyBorder="1" applyAlignment="1">
      <alignment horizontal="left"/>
    </xf>
    <xf numFmtId="165" fontId="2" fillId="4" borderId="16" xfId="0" applyNumberFormat="1" applyFont="1" applyFill="1" applyBorder="1"/>
    <xf numFmtId="165" fontId="2" fillId="2" borderId="16" xfId="0" applyNumberFormat="1" applyFont="1" applyFill="1" applyBorder="1"/>
    <xf numFmtId="165" fontId="2" fillId="0" borderId="16" xfId="0" applyNumberFormat="1" applyFont="1" applyBorder="1"/>
    <xf numFmtId="166" fontId="2" fillId="0" borderId="16" xfId="0" applyNumberFormat="1" applyFont="1" applyBorder="1"/>
    <xf numFmtId="0" fontId="2" fillId="2" borderId="17" xfId="0" applyFont="1" applyFill="1" applyBorder="1"/>
    <xf numFmtId="0" fontId="1" fillId="0" borderId="11" xfId="0" applyFont="1" applyBorder="1" applyAlignment="1">
      <alignment horizontal="left"/>
    </xf>
    <xf numFmtId="0" fontId="1" fillId="5" borderId="18" xfId="0" applyFont="1" applyFill="1" applyBorder="1" applyAlignment="1">
      <alignment horizontal="left"/>
    </xf>
    <xf numFmtId="165" fontId="2" fillId="5" borderId="19" xfId="0" applyNumberFormat="1" applyFont="1" applyFill="1" applyBorder="1"/>
    <xf numFmtId="166" fontId="2" fillId="5" borderId="19" xfId="0" applyNumberFormat="1" applyFont="1" applyFill="1" applyBorder="1"/>
    <xf numFmtId="165" fontId="2" fillId="5" borderId="20" xfId="0" applyNumberFormat="1" applyFont="1" applyFill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20"/>
  <sheetViews>
    <sheetView showGridLines="0" tabSelected="1" zoomScale="85" zoomScaleNormal="85" workbookViewId="0"/>
  </sheetViews>
  <sheetFormatPr defaultRowHeight="15"/>
  <cols>
    <col min="1" max="1" width="3.28515625" customWidth="1"/>
    <col min="2" max="2" width="4.85546875" customWidth="1"/>
    <col min="3" max="3" width="56.7109375" customWidth="1"/>
    <col min="4" max="4" width="20.7109375" customWidth="1"/>
    <col min="5" max="6" width="18.7109375" customWidth="1"/>
    <col min="7" max="7" width="12.7109375" customWidth="1"/>
    <col min="8" max="8" width="18.710937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customWidth="1"/>
    <col min="18" max="18" width="19.85546875" customWidth="1"/>
    <col min="19" max="19" width="11.5703125" customWidth="1"/>
    <col min="20" max="22" width="15.7109375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5">
        <f>IF($E$2="","",VLOOKUP($E$2,Sprachversionen!$B:$BN,60,FALSE))</f>
        <v>0</v>
      </c>
      <c r="K1" s="2"/>
      <c r="L1" s="2"/>
      <c r="M1" s="2"/>
      <c r="N1" s="2"/>
      <c r="O1" s="3"/>
    </row>
    <row r="2" spans="2:22">
      <c r="B2" s="4" t="s">
        <v>0</v>
      </c>
      <c r="C2" s="4"/>
      <c r="D2" s="7">
        <f>IF($E$2="","Chose your language",VLOOKUP($E$2,Sprachversionen!$B:$BN,27,FALSE))</f>
        <v>0</v>
      </c>
      <c r="E2" s="23" t="s">
        <v>1</v>
      </c>
      <c r="J2" s="5">
        <f>IF($E$2="","",VLOOKUP($E$2,Sprachversionen!$B:$BN,61,FALSE))</f>
        <v>0</v>
      </c>
      <c r="K2" s="5"/>
      <c r="L2" s="5"/>
      <c r="M2" s="5"/>
      <c r="N2" s="5"/>
      <c r="O2" s="5"/>
    </row>
    <row r="3" spans="2:22">
      <c r="B3" s="1">
        <f>IF($E$2="","",VLOOKUP($E$2,Sprachversionen!$B:$BN,3,FALSE))</f>
        <v>0</v>
      </c>
      <c r="C3" s="1"/>
      <c r="D3" s="7">
        <f>IF($E$2="","",VLOOKUP($E$2,Sprachversionen!$B:$BN,28,FALSE))</f>
        <v>0</v>
      </c>
      <c r="E3" s="23">
        <f>IF($E$2="",VLOOKUP($E$2,Sprachversionen!$B:$BN,28,FALSE),E3)</f>
        <v>0</v>
      </c>
      <c r="J3" s="5"/>
      <c r="K3" s="5"/>
      <c r="L3" s="5"/>
      <c r="M3" s="5"/>
      <c r="N3" s="5"/>
      <c r="O3" s="5"/>
    </row>
    <row r="4" spans="2:22" ht="12" customHeight="1">
      <c r="J4" s="6">
        <f>HYPERLINK(VLOOKUP($E$2,Sprachversionen!$B:$BN,62,FALSE))</f>
        <v>0</v>
      </c>
      <c r="K4" s="6"/>
      <c r="L4" s="6"/>
      <c r="M4" s="6"/>
      <c r="N4" s="6"/>
      <c r="O4" s="6"/>
    </row>
    <row r="5" spans="2:22">
      <c r="B5" s="7">
        <f>IF($E$2="","",VLOOKUP($E$2,Sprachversionen!$B:$BN,4,FALSE))</f>
        <v>0</v>
      </c>
      <c r="C5" s="7"/>
      <c r="D5" s="8"/>
    </row>
    <row r="6" spans="2:22">
      <c r="B6" s="7">
        <f>IF($E$2="","",VLOOKUP($E$2,Sprachversionen!$B:$BN,26,FALSE))</f>
        <v>0</v>
      </c>
      <c r="C6" s="7"/>
      <c r="D6" s="9"/>
      <c r="E6" s="9"/>
      <c r="F6" s="9"/>
      <c r="G6" s="9"/>
      <c r="H6" s="9"/>
    </row>
    <row r="7" spans="2:22">
      <c r="B7" s="7"/>
      <c r="C7" s="7"/>
      <c r="D7" s="9"/>
      <c r="E7" s="9"/>
      <c r="F7" s="9"/>
      <c r="G7" s="9"/>
      <c r="H7" s="9"/>
      <c r="J7" s="11"/>
    </row>
    <row r="8" spans="2:22">
      <c r="B8" s="7">
        <f>IF($E$2="","",VLOOKUP($E$2,Sprachversionen!$B:$BN,5,FALSE))</f>
        <v>0</v>
      </c>
      <c r="C8" s="7"/>
      <c r="D8" s="26">
        <f>IF($E$2="","",VLOOKUP($E$2,Sprachversionen!$B:$BN,7,FALSE))</f>
        <v>0</v>
      </c>
      <c r="E8" s="10"/>
      <c r="F8" s="26">
        <f>IF($E$2="","",VLOOKUP($E$2,Sprachversionen!$B:$BN,8,FALSE))</f>
        <v>0</v>
      </c>
      <c r="G8" s="10"/>
      <c r="H8" s="10"/>
      <c r="J8" s="12"/>
      <c r="K8">
        <f>IF($E$2="","",VLOOKUP($E$2,Sprachversionen!$B:$BN,59,FALSE))</f>
        <v>0</v>
      </c>
    </row>
    <row r="9" spans="2:22">
      <c r="B9" s="7">
        <f>IF($E$2="","",VLOOKUP($E$2,Sprachversionen!$B:$BN,6,FALSE))</f>
        <v>0</v>
      </c>
      <c r="C9" s="7"/>
      <c r="D9" s="26">
        <f>D8</f>
        <v>0</v>
      </c>
      <c r="E9" s="10"/>
      <c r="F9" s="26">
        <f>F8</f>
        <v>0</v>
      </c>
      <c r="G9" s="10"/>
      <c r="H9" s="10"/>
      <c r="J9" s="13"/>
    </row>
    <row r="10" spans="2:22" ht="13.5" customHeight="1"/>
    <row r="11" spans="2:22" ht="12.75" customHeight="1">
      <c r="B11" s="14"/>
      <c r="C11" s="15"/>
      <c r="D11" s="16">
        <f>IF($E$2="","",VLOOKUP($E$2,Sprachversionen!$B:$BN,11,FALSE))</f>
        <v>0</v>
      </c>
      <c r="E11" s="17">
        <f>IF($E$2="","",VLOOKUP($E$2,Sprachversionen!$B:$BN,12,FALSE))</f>
        <v>0</v>
      </c>
      <c r="F11" s="16">
        <f>IF($E$2="","",VLOOKUP($E$2,Sprachversionen!$B:$BN,13,FALSE))</f>
        <v>0</v>
      </c>
      <c r="G11" s="16">
        <f>IF($E$2="","",VLOOKUP($E$2,Sprachversionen!$B:$BN,14,FALSE))</f>
        <v>0</v>
      </c>
      <c r="H11" s="18">
        <f>IF($E$2="","",VLOOKUP($E$2,Sprachversionen!$B:$BN,15,FALSE))</f>
        <v>0</v>
      </c>
      <c r="J11" s="1">
        <f>B18</f>
        <v>0</v>
      </c>
      <c r="K11" s="1"/>
      <c r="Q11" s="1">
        <f>B18</f>
        <v>0</v>
      </c>
      <c r="R11" s="1"/>
    </row>
    <row r="12" spans="2:22">
      <c r="B12" s="19">
        <f>IF($E$2="","",VLOOKUP($E$2,Sprachversionen!$B:$BN,9,FALSE))</f>
        <v>0</v>
      </c>
      <c r="C12" s="19"/>
      <c r="D12" s="16"/>
      <c r="E12" s="17"/>
      <c r="F12" s="16"/>
      <c r="G12" s="16"/>
      <c r="H12" s="18"/>
    </row>
    <row r="13" spans="2:22">
      <c r="B13" s="20">
        <f>IF($E$2="","",VLOOKUP($E$2,Sprachversionen!$B:$BN,10,FALSE))</f>
        <v>0</v>
      </c>
      <c r="C13" s="20"/>
      <c r="D13" s="16"/>
      <c r="E13" s="17"/>
      <c r="F13" s="16"/>
      <c r="G13" s="16"/>
      <c r="H13" s="18"/>
      <c r="L13" s="24">
        <f>IF($E$2="","",VLOOKUP($E$2,Sprachversionen!$B:$BN,22,FALSE))</f>
        <v>0</v>
      </c>
      <c r="M13" s="24" t="s">
        <v>2</v>
      </c>
      <c r="N13" s="24">
        <f>IF(E3="",VLOOKUP($E$2,Sprachversionen!$B:$BN,28,FALSE),E3)</f>
        <v>0</v>
      </c>
      <c r="O13" s="24">
        <f>IF($E$2="","",VLOOKUP($E$2,Sprachversionen!$B:$BN,58,FALSE))</f>
        <v>0</v>
      </c>
      <c r="S13" s="24">
        <f>IF($E$2="","",VLOOKUP($E$2,Sprachversionen!$B:$BN,22,FALSE))</f>
        <v>0</v>
      </c>
      <c r="T13" s="24" t="s">
        <v>2</v>
      </c>
      <c r="U13" s="24">
        <f>IF(E3="",VLOOKUP($E$2,Sprachversionen!$B:$BN,28,FALSE),E3)</f>
        <v>0</v>
      </c>
      <c r="V13" s="24">
        <f>IF($E$2="","",VLOOKUP($E$2,Sprachversionen!$B:$BN,58,FALSE))</f>
        <v>0</v>
      </c>
    </row>
    <row r="14" spans="2:22">
      <c r="B14" s="21"/>
      <c r="C14" s="22"/>
      <c r="D14" s="16"/>
      <c r="E14" s="17"/>
      <c r="F14" s="16"/>
      <c r="G14" s="16"/>
      <c r="H14" s="18"/>
    </row>
    <row r="15" spans="2:22">
      <c r="B15" s="27">
        <f>IF($E$2="","",VLOOKUP($E$2,Sprachversionen!$B:$BN,16,FALSE))</f>
        <v>0</v>
      </c>
      <c r="C15" s="27"/>
      <c r="D15" s="28">
        <v>0</v>
      </c>
      <c r="E15" s="29"/>
      <c r="F15" s="30"/>
      <c r="G15" s="31"/>
      <c r="H15" s="32"/>
    </row>
    <row r="16" spans="2:22">
      <c r="B16" s="33">
        <f>IF($E$2="","",VLOOKUP($E$2,Sprachversionen!$B:$BN,17,FALSE))</f>
        <v>0</v>
      </c>
      <c r="C16" s="33"/>
      <c r="D16" s="28">
        <v>0</v>
      </c>
      <c r="E16" s="29"/>
      <c r="F16" s="30"/>
      <c r="G16" s="31">
        <f>IFERROR(F16/D16,0)</f>
        <v>0</v>
      </c>
      <c r="H16" s="32"/>
    </row>
    <row r="17" spans="2:8">
      <c r="B17" s="33">
        <f>IF($E$2="","",VLOOKUP($E$2,Sprachversionen!$B:$BN,18,FALSE))</f>
        <v>0</v>
      </c>
      <c r="C17" s="33"/>
      <c r="D17" s="28">
        <v>0</v>
      </c>
      <c r="E17" s="29"/>
      <c r="F17" s="30"/>
      <c r="G17" s="31">
        <f>IFERROR(F17/D17,0)</f>
        <v>0</v>
      </c>
      <c r="H17" s="32"/>
    </row>
    <row r="18" spans="2:8">
      <c r="B18" s="33">
        <f>IF($E$2="","",VLOOKUP($E$2,Sprachversionen!$B:$BN,19,FALSE))</f>
        <v>0</v>
      </c>
      <c r="C18" s="33"/>
      <c r="D18" s="28">
        <v>0</v>
      </c>
      <c r="E18" s="29"/>
      <c r="F18" s="30"/>
      <c r="G18" s="31">
        <f>IFERROR(F18/D18,0)</f>
        <v>0</v>
      </c>
      <c r="H18" s="32"/>
    </row>
    <row r="19" spans="2:8">
      <c r="B19" s="33">
        <f>IF($E$2="","",VLOOKUP($E$2,Sprachversionen!$B:$BN,20,FALSE))</f>
        <v>0</v>
      </c>
      <c r="C19" s="33"/>
      <c r="D19" s="28">
        <v>0</v>
      </c>
      <c r="E19" s="29"/>
      <c r="F19" s="30"/>
      <c r="G19" s="31">
        <f>IFERROR(F19/D19,0)</f>
        <v>0</v>
      </c>
      <c r="H19" s="32"/>
    </row>
    <row r="20" spans="2:8">
      <c r="B20" s="34">
        <f>IF($E$2="","",VLOOKUP($E$2,Sprachversionen!$B:$BN,21,FALSE))</f>
        <v>0</v>
      </c>
      <c r="C20" s="34"/>
      <c r="D20" s="35">
        <f>SUMPRODUCT(ROUND(D15:D19, 2))</f>
        <v>0</v>
      </c>
      <c r="E20" s="35">
        <f>SUMPRODUCT(ROUND(E15:E19, 2))</f>
        <v>0</v>
      </c>
      <c r="F20" s="35">
        <f>SUMPRODUCT(ROUND(F15:F19, 2))</f>
        <v>0</v>
      </c>
      <c r="G20" s="36">
        <f>IFERROR(INDEX($F$1:$F$1001,ROW())/INDEX($D$1:$D$1001,ROW()),0)</f>
        <v>0</v>
      </c>
      <c r="H20" s="37"/>
    </row>
  </sheetData>
  <mergeCells count="2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  <mergeCell ref="B15:C15"/>
    <mergeCell ref="B16:C16"/>
    <mergeCell ref="B17:C17"/>
    <mergeCell ref="B18:C18"/>
    <mergeCell ref="B19:C19"/>
    <mergeCell ref="B20:C20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s="38" t="s">
        <v>3</v>
      </c>
      <c r="B1" s="38" t="s">
        <v>1</v>
      </c>
      <c r="C1" s="38" t="s">
        <v>4</v>
      </c>
      <c r="D1" s="38" t="s">
        <v>5</v>
      </c>
      <c r="E1" s="38" t="s">
        <v>6</v>
      </c>
      <c r="F1" s="38" t="s">
        <v>7</v>
      </c>
      <c r="G1" s="38" t="s">
        <v>8</v>
      </c>
      <c r="H1" s="38" t="s">
        <v>9</v>
      </c>
      <c r="I1" s="38" t="s">
        <v>10</v>
      </c>
      <c r="J1" s="38" t="s">
        <v>11</v>
      </c>
      <c r="K1" s="38" t="s">
        <v>12</v>
      </c>
      <c r="L1" s="38" t="s">
        <v>13</v>
      </c>
      <c r="M1" s="38" t="s">
        <v>14</v>
      </c>
      <c r="N1" s="38" t="s">
        <v>15</v>
      </c>
      <c r="O1" s="38" t="s">
        <v>16</v>
      </c>
      <c r="P1" s="38" t="s">
        <v>17</v>
      </c>
      <c r="Q1" s="38" t="s">
        <v>18</v>
      </c>
      <c r="R1" s="38" t="s">
        <v>19</v>
      </c>
      <c r="S1" s="38" t="s">
        <v>20</v>
      </c>
      <c r="T1" s="38" t="s">
        <v>21</v>
      </c>
      <c r="U1" s="38" t="s">
        <v>22</v>
      </c>
      <c r="V1" s="38" t="s">
        <v>23</v>
      </c>
      <c r="W1" s="38" t="s">
        <v>24</v>
      </c>
      <c r="X1" s="38" t="s">
        <v>25</v>
      </c>
      <c r="Y1" s="38" t="s">
        <v>26</v>
      </c>
      <c r="Z1" s="38" t="s">
        <v>27</v>
      </c>
      <c r="AA1" s="38" t="s">
        <v>28</v>
      </c>
      <c r="AB1" s="38" t="s">
        <v>29</v>
      </c>
      <c r="AC1" s="38" t="s">
        <v>30</v>
      </c>
      <c r="AD1" s="38" t="s">
        <v>31</v>
      </c>
      <c r="AE1" s="38" t="s">
        <v>32</v>
      </c>
      <c r="AF1" s="38" t="s">
        <v>33</v>
      </c>
      <c r="AG1" s="38" t="s">
        <v>34</v>
      </c>
      <c r="AH1" s="38" t="s">
        <v>35</v>
      </c>
      <c r="AI1" s="38" t="s">
        <v>36</v>
      </c>
      <c r="AJ1" s="38" t="s">
        <v>37</v>
      </c>
      <c r="AK1" s="38" t="s">
        <v>38</v>
      </c>
      <c r="AL1" s="38" t="s">
        <v>39</v>
      </c>
      <c r="AM1" s="38" t="s">
        <v>40</v>
      </c>
      <c r="AN1" s="38" t="s">
        <v>41</v>
      </c>
      <c r="AO1" s="38" t="s">
        <v>42</v>
      </c>
      <c r="AP1" s="38" t="s">
        <v>43</v>
      </c>
      <c r="AQ1" s="38" t="s">
        <v>44</v>
      </c>
      <c r="AR1" s="38" t="s">
        <v>45</v>
      </c>
      <c r="AS1" s="38" t="s">
        <v>46</v>
      </c>
      <c r="AT1" s="38" t="s">
        <v>47</v>
      </c>
      <c r="AU1" s="38" t="s">
        <v>48</v>
      </c>
      <c r="AV1" s="38" t="s">
        <v>49</v>
      </c>
      <c r="AW1" s="38" t="s">
        <v>50</v>
      </c>
      <c r="AX1" s="38" t="s">
        <v>51</v>
      </c>
      <c r="AY1" s="38" t="s">
        <v>52</v>
      </c>
      <c r="AZ1" s="38" t="s">
        <v>53</v>
      </c>
      <c r="BA1" s="38" t="s">
        <v>54</v>
      </c>
      <c r="BB1" s="38" t="s">
        <v>55</v>
      </c>
      <c r="BC1" s="38" t="s">
        <v>56</v>
      </c>
      <c r="BD1" s="38" t="s">
        <v>57</v>
      </c>
      <c r="BE1" s="38" t="s">
        <v>58</v>
      </c>
      <c r="BF1" s="38" t="s">
        <v>59</v>
      </c>
      <c r="BG1" s="38" t="s">
        <v>60</v>
      </c>
      <c r="BH1" s="38" t="s">
        <v>61</v>
      </c>
      <c r="BI1" s="38" t="s">
        <v>62</v>
      </c>
      <c r="BJ1" s="38" t="s">
        <v>63</v>
      </c>
      <c r="BK1" s="38" t="s">
        <v>64</v>
      </c>
    </row>
    <row r="2" spans="1:63">
      <c r="A2" s="38" t="s">
        <v>65</v>
      </c>
      <c r="B2" s="38" t="s">
        <v>66</v>
      </c>
      <c r="C2" s="38" t="s">
        <v>67</v>
      </c>
      <c r="D2" s="38" t="s">
        <v>68</v>
      </c>
      <c r="E2" s="38" t="s">
        <v>69</v>
      </c>
      <c r="F2" s="38" t="s">
        <v>70</v>
      </c>
      <c r="G2" s="38" t="s">
        <v>71</v>
      </c>
      <c r="H2" s="38" t="s">
        <v>72</v>
      </c>
      <c r="I2" s="38" t="s">
        <v>73</v>
      </c>
      <c r="J2" s="38" t="s">
        <v>74</v>
      </c>
      <c r="K2" s="38" t="s">
        <v>75</v>
      </c>
      <c r="L2" s="38" t="s">
        <v>76</v>
      </c>
      <c r="M2" s="38" t="s">
        <v>77</v>
      </c>
      <c r="N2" s="38" t="s">
        <v>78</v>
      </c>
      <c r="O2" s="38" t="s">
        <v>79</v>
      </c>
      <c r="P2" s="38" t="s">
        <v>80</v>
      </c>
      <c r="Q2" s="38" t="s">
        <v>81</v>
      </c>
      <c r="R2" s="38" t="s">
        <v>82</v>
      </c>
      <c r="S2" s="38" t="s">
        <v>83</v>
      </c>
      <c r="T2" s="38" t="s">
        <v>84</v>
      </c>
      <c r="U2" s="38" t="s">
        <v>85</v>
      </c>
      <c r="V2" s="38" t="s">
        <v>86</v>
      </c>
      <c r="W2" s="38" t="s">
        <v>87</v>
      </c>
      <c r="X2" s="38" t="s">
        <v>88</v>
      </c>
      <c r="Y2" s="38" t="s">
        <v>89</v>
      </c>
      <c r="Z2" s="38" t="s">
        <v>90</v>
      </c>
      <c r="AA2" s="38" t="s">
        <v>91</v>
      </c>
      <c r="AB2" s="38" t="s">
        <v>92</v>
      </c>
      <c r="AC2" s="38" t="s">
        <v>93</v>
      </c>
      <c r="AD2" s="38" t="s">
        <v>94</v>
      </c>
      <c r="AE2" s="38" t="s">
        <v>95</v>
      </c>
      <c r="AF2" s="38" t="s">
        <v>96</v>
      </c>
      <c r="AG2" s="38" t="s">
        <v>97</v>
      </c>
      <c r="AH2" s="38" t="s">
        <v>98</v>
      </c>
      <c r="AI2" s="38" t="s">
        <v>99</v>
      </c>
      <c r="AJ2" s="38" t="s">
        <v>100</v>
      </c>
      <c r="AK2" s="38" t="s">
        <v>101</v>
      </c>
      <c r="AL2" s="38" t="s">
        <v>102</v>
      </c>
      <c r="AM2" s="38" t="s">
        <v>103</v>
      </c>
      <c r="AN2" s="38" t="s">
        <v>104</v>
      </c>
      <c r="AO2" s="38" t="s">
        <v>42</v>
      </c>
      <c r="AP2" s="38" t="s">
        <v>105</v>
      </c>
      <c r="AQ2" s="38" t="s">
        <v>86</v>
      </c>
      <c r="AR2" s="38" t="s">
        <v>106</v>
      </c>
      <c r="AS2" s="38" t="s">
        <v>107</v>
      </c>
      <c r="AT2" s="38" t="s">
        <v>108</v>
      </c>
      <c r="AU2" s="38" t="s">
        <v>109</v>
      </c>
      <c r="AV2" s="38" t="s">
        <v>49</v>
      </c>
      <c r="AW2" s="38" t="s">
        <v>110</v>
      </c>
      <c r="AX2" s="38" t="s">
        <v>111</v>
      </c>
      <c r="AY2" s="38" t="s">
        <v>112</v>
      </c>
      <c r="AZ2" s="38" t="s">
        <v>113</v>
      </c>
      <c r="BA2" s="38" t="s">
        <v>114</v>
      </c>
      <c r="BB2" s="38" t="s">
        <v>115</v>
      </c>
      <c r="BC2" s="38" t="s">
        <v>116</v>
      </c>
      <c r="BD2" s="38" t="s">
        <v>117</v>
      </c>
      <c r="BE2" s="38" t="s">
        <v>118</v>
      </c>
      <c r="BF2" s="38" t="s">
        <v>119</v>
      </c>
      <c r="BG2" s="38" t="s">
        <v>120</v>
      </c>
      <c r="BH2" s="38" t="s">
        <v>121</v>
      </c>
      <c r="BI2" s="38" t="s">
        <v>122</v>
      </c>
      <c r="BJ2" s="38" t="s">
        <v>123</v>
      </c>
      <c r="BK2" s="38" t="s">
        <v>124</v>
      </c>
    </row>
    <row r="3" spans="1:63">
      <c r="A3" s="38" t="s">
        <v>125</v>
      </c>
      <c r="B3" s="38" t="s">
        <v>126</v>
      </c>
      <c r="C3" s="38" t="s">
        <v>127</v>
      </c>
      <c r="D3" s="38" t="s">
        <v>128</v>
      </c>
      <c r="E3" s="38" t="s">
        <v>129</v>
      </c>
      <c r="F3" s="38" t="s">
        <v>130</v>
      </c>
      <c r="G3" s="38" t="s">
        <v>131</v>
      </c>
      <c r="H3" s="38" t="s">
        <v>132</v>
      </c>
      <c r="I3" s="38" t="s">
        <v>132</v>
      </c>
      <c r="J3" s="38" t="s">
        <v>133</v>
      </c>
      <c r="K3" s="38" t="s">
        <v>134</v>
      </c>
      <c r="L3" s="38" t="s">
        <v>135</v>
      </c>
      <c r="M3" s="38" t="s">
        <v>136</v>
      </c>
      <c r="N3" s="38" t="s">
        <v>137</v>
      </c>
      <c r="O3" s="38" t="s">
        <v>138</v>
      </c>
      <c r="P3" s="38" t="s">
        <v>139</v>
      </c>
      <c r="Q3" s="38" t="s">
        <v>140</v>
      </c>
      <c r="R3" s="38" t="s">
        <v>141</v>
      </c>
      <c r="S3" s="38" t="s">
        <v>142</v>
      </c>
      <c r="T3" s="38" t="s">
        <v>143</v>
      </c>
      <c r="U3" s="38" t="s">
        <v>144</v>
      </c>
      <c r="V3" s="38" t="s">
        <v>145</v>
      </c>
      <c r="W3" s="38" t="s">
        <v>87</v>
      </c>
      <c r="X3" s="38" t="s">
        <v>146</v>
      </c>
      <c r="Y3" s="38" t="s">
        <v>147</v>
      </c>
      <c r="Z3" s="38" t="s">
        <v>148</v>
      </c>
      <c r="AA3" s="38" t="s">
        <v>149</v>
      </c>
      <c r="AB3" s="38" t="s">
        <v>150</v>
      </c>
      <c r="AC3" s="38" t="s">
        <v>151</v>
      </c>
      <c r="AD3" s="38" t="s">
        <v>152</v>
      </c>
      <c r="AE3" s="38" t="s">
        <v>153</v>
      </c>
      <c r="AF3" s="38" t="s">
        <v>154</v>
      </c>
      <c r="AG3" s="38" t="s">
        <v>155</v>
      </c>
      <c r="AH3" s="38" t="s">
        <v>156</v>
      </c>
      <c r="AI3" s="38" t="s">
        <v>157</v>
      </c>
      <c r="AJ3" s="38" t="s">
        <v>158</v>
      </c>
      <c r="AK3" s="38" t="s">
        <v>159</v>
      </c>
      <c r="AL3" s="38" t="s">
        <v>160</v>
      </c>
      <c r="AM3" s="38" t="s">
        <v>161</v>
      </c>
      <c r="AN3" s="38" t="s">
        <v>104</v>
      </c>
      <c r="AO3" s="38" t="s">
        <v>42</v>
      </c>
      <c r="AP3" s="38" t="s">
        <v>162</v>
      </c>
      <c r="AQ3" s="38" t="s">
        <v>145</v>
      </c>
      <c r="AR3" s="38" t="s">
        <v>163</v>
      </c>
      <c r="AS3" s="38" t="s">
        <v>164</v>
      </c>
      <c r="AT3" s="38" t="s">
        <v>165</v>
      </c>
      <c r="AU3" s="38" t="s">
        <v>166</v>
      </c>
      <c r="AV3" s="38" t="s">
        <v>167</v>
      </c>
      <c r="AW3" s="38" t="s">
        <v>168</v>
      </c>
      <c r="AX3" s="38" t="s">
        <v>169</v>
      </c>
      <c r="AY3" s="38" t="s">
        <v>170</v>
      </c>
      <c r="AZ3" s="38" t="s">
        <v>171</v>
      </c>
      <c r="BA3" s="38" t="s">
        <v>172</v>
      </c>
      <c r="BB3" s="38" t="s">
        <v>173</v>
      </c>
      <c r="BC3" s="38" t="s">
        <v>174</v>
      </c>
      <c r="BD3" s="38" t="s">
        <v>175</v>
      </c>
      <c r="BE3" s="38" t="s">
        <v>176</v>
      </c>
      <c r="BF3" s="38" t="s">
        <v>177</v>
      </c>
      <c r="BG3" s="38" t="s">
        <v>178</v>
      </c>
      <c r="BH3" s="38" t="s">
        <v>179</v>
      </c>
      <c r="BI3" s="38" t="s">
        <v>180</v>
      </c>
      <c r="BJ3" s="38" t="s">
        <v>181</v>
      </c>
      <c r="BK3" s="38" t="s">
        <v>182</v>
      </c>
    </row>
    <row r="4" spans="1:63">
      <c r="A4" s="38" t="s">
        <v>183</v>
      </c>
      <c r="B4" s="38" t="s">
        <v>184</v>
      </c>
      <c r="C4" s="38" t="s">
        <v>185</v>
      </c>
      <c r="D4" s="38" t="s">
        <v>186</v>
      </c>
      <c r="E4" s="38" t="s">
        <v>187</v>
      </c>
      <c r="F4" s="38" t="s">
        <v>188</v>
      </c>
      <c r="G4" s="38" t="s">
        <v>189</v>
      </c>
      <c r="H4" s="38" t="s">
        <v>190</v>
      </c>
      <c r="I4" s="38" t="s">
        <v>191</v>
      </c>
      <c r="J4" s="38" t="s">
        <v>192</v>
      </c>
      <c r="K4" s="38" t="s">
        <v>193</v>
      </c>
      <c r="L4" s="38" t="s">
        <v>194</v>
      </c>
      <c r="M4" s="38" t="s">
        <v>195</v>
      </c>
      <c r="N4" s="38" t="s">
        <v>196</v>
      </c>
      <c r="O4" s="38" t="s">
        <v>197</v>
      </c>
      <c r="P4" s="38" t="s">
        <v>198</v>
      </c>
      <c r="Q4" s="38" t="s">
        <v>199</v>
      </c>
      <c r="R4" s="38" t="s">
        <v>200</v>
      </c>
      <c r="S4" s="38" t="s">
        <v>201</v>
      </c>
      <c r="T4" s="38" t="s">
        <v>202</v>
      </c>
      <c r="U4" s="38" t="s">
        <v>203</v>
      </c>
      <c r="V4" s="38" t="s">
        <v>145</v>
      </c>
      <c r="W4" s="38" t="s">
        <v>204</v>
      </c>
      <c r="X4" s="38" t="s">
        <v>205</v>
      </c>
      <c r="Y4" s="38" t="s">
        <v>206</v>
      </c>
      <c r="Z4" s="38" t="s">
        <v>207</v>
      </c>
      <c r="AA4" s="38" t="s">
        <v>208</v>
      </c>
      <c r="AB4" s="38" t="s">
        <v>209</v>
      </c>
      <c r="AC4" s="38" t="s">
        <v>210</v>
      </c>
      <c r="AD4" s="38" t="s">
        <v>211</v>
      </c>
      <c r="AE4" s="38" t="s">
        <v>212</v>
      </c>
      <c r="AF4" s="38" t="s">
        <v>213</v>
      </c>
      <c r="AG4" s="38" t="s">
        <v>214</v>
      </c>
      <c r="AH4" s="38" t="s">
        <v>215</v>
      </c>
      <c r="AI4" s="38" t="s">
        <v>216</v>
      </c>
      <c r="AJ4" s="38" t="s">
        <v>217</v>
      </c>
      <c r="AK4" s="38" t="s">
        <v>218</v>
      </c>
      <c r="AL4" s="38" t="s">
        <v>219</v>
      </c>
      <c r="AM4" s="38" t="s">
        <v>220</v>
      </c>
      <c r="AN4" s="38" t="s">
        <v>221</v>
      </c>
      <c r="AO4" s="38" t="s">
        <v>222</v>
      </c>
      <c r="AP4" s="38" t="s">
        <v>223</v>
      </c>
      <c r="AQ4" s="38" t="s">
        <v>86</v>
      </c>
      <c r="AR4" s="38" t="s">
        <v>224</v>
      </c>
      <c r="AS4" s="38" t="s">
        <v>225</v>
      </c>
      <c r="AT4" s="38" t="s">
        <v>226</v>
      </c>
      <c r="AU4" s="38" t="s">
        <v>227</v>
      </c>
      <c r="AV4" s="38" t="s">
        <v>228</v>
      </c>
      <c r="AW4" s="38" t="s">
        <v>229</v>
      </c>
      <c r="AX4" s="38" t="s">
        <v>230</v>
      </c>
      <c r="AY4" s="38" t="s">
        <v>231</v>
      </c>
      <c r="AZ4" s="38" t="s">
        <v>232</v>
      </c>
      <c r="BA4" s="38" t="s">
        <v>233</v>
      </c>
      <c r="BB4" s="38" t="s">
        <v>234</v>
      </c>
      <c r="BC4" s="38" t="s">
        <v>235</v>
      </c>
      <c r="BD4" s="38" t="s">
        <v>236</v>
      </c>
      <c r="BE4" s="38" t="s">
        <v>237</v>
      </c>
      <c r="BF4" s="38" t="s">
        <v>238</v>
      </c>
      <c r="BG4" s="38" t="s">
        <v>178</v>
      </c>
      <c r="BH4" s="38" t="s">
        <v>239</v>
      </c>
      <c r="BI4" s="38" t="s">
        <v>240</v>
      </c>
      <c r="BJ4" s="38" t="s">
        <v>241</v>
      </c>
      <c r="BK4" s="38" t="s">
        <v>242</v>
      </c>
    </row>
    <row r="5" spans="1:63">
      <c r="A5" s="38" t="s">
        <v>243</v>
      </c>
      <c r="B5" s="38" t="s">
        <v>244</v>
      </c>
      <c r="C5" s="38" t="s">
        <v>245</v>
      </c>
      <c r="D5" s="38" t="s">
        <v>246</v>
      </c>
      <c r="E5" s="38" t="s">
        <v>247</v>
      </c>
      <c r="F5" s="38" t="s">
        <v>248</v>
      </c>
      <c r="G5" s="38" t="s">
        <v>249</v>
      </c>
      <c r="H5" s="38" t="s">
        <v>190</v>
      </c>
      <c r="I5" s="38" t="s">
        <v>250</v>
      </c>
      <c r="J5" s="38" t="s">
        <v>251</v>
      </c>
      <c r="K5" s="38" t="s">
        <v>252</v>
      </c>
      <c r="L5" s="38" t="s">
        <v>253</v>
      </c>
      <c r="M5" s="38" t="s">
        <v>254</v>
      </c>
      <c r="N5" s="38" t="s">
        <v>255</v>
      </c>
      <c r="O5" s="38" t="s">
        <v>256</v>
      </c>
      <c r="P5" s="38" t="s">
        <v>257</v>
      </c>
      <c r="Q5" s="38" t="s">
        <v>258</v>
      </c>
      <c r="R5" s="38" t="s">
        <v>259</v>
      </c>
      <c r="S5" s="38" t="s">
        <v>260</v>
      </c>
      <c r="T5" s="38" t="s">
        <v>261</v>
      </c>
      <c r="U5" s="38" t="s">
        <v>262</v>
      </c>
      <c r="V5" s="38" t="s">
        <v>145</v>
      </c>
      <c r="W5" s="38" t="s">
        <v>263</v>
      </c>
      <c r="X5" s="38" t="s">
        <v>264</v>
      </c>
      <c r="Y5" s="38" t="s">
        <v>265</v>
      </c>
      <c r="Z5" s="38" t="s">
        <v>266</v>
      </c>
      <c r="AA5" s="38" t="s">
        <v>267</v>
      </c>
      <c r="AB5" s="38" t="s">
        <v>209</v>
      </c>
      <c r="AC5" s="38" t="s">
        <v>268</v>
      </c>
      <c r="AD5" s="38" t="s">
        <v>269</v>
      </c>
      <c r="AE5" s="38" t="s">
        <v>270</v>
      </c>
      <c r="AF5" s="38" t="s">
        <v>271</v>
      </c>
      <c r="AG5" s="38" t="s">
        <v>272</v>
      </c>
      <c r="AH5" s="38" t="s">
        <v>273</v>
      </c>
      <c r="AI5" s="38" t="s">
        <v>274</v>
      </c>
      <c r="AJ5" s="38" t="s">
        <v>275</v>
      </c>
      <c r="AK5" s="38" t="s">
        <v>276</v>
      </c>
      <c r="AL5" s="38" t="s">
        <v>277</v>
      </c>
      <c r="AM5" s="38" t="s">
        <v>278</v>
      </c>
      <c r="AN5" s="38" t="s">
        <v>279</v>
      </c>
      <c r="AO5" s="38" t="s">
        <v>280</v>
      </c>
      <c r="AP5" s="38" t="s">
        <v>281</v>
      </c>
      <c r="AQ5" s="38" t="s">
        <v>86</v>
      </c>
      <c r="AR5" s="38" t="s">
        <v>282</v>
      </c>
      <c r="AS5" s="38" t="s">
        <v>283</v>
      </c>
      <c r="AT5" s="38" t="s">
        <v>284</v>
      </c>
      <c r="AU5" s="38" t="s">
        <v>285</v>
      </c>
      <c r="AV5" s="38" t="s">
        <v>228</v>
      </c>
      <c r="AW5" s="38" t="s">
        <v>286</v>
      </c>
      <c r="AX5" s="38" t="s">
        <v>287</v>
      </c>
      <c r="AY5" s="38" t="s">
        <v>288</v>
      </c>
      <c r="AZ5" s="38" t="s">
        <v>289</v>
      </c>
      <c r="BA5" s="38" t="s">
        <v>290</v>
      </c>
      <c r="BB5" s="38" t="s">
        <v>291</v>
      </c>
      <c r="BC5" s="38" t="s">
        <v>292</v>
      </c>
      <c r="BD5" s="38" t="s">
        <v>293</v>
      </c>
      <c r="BE5" s="38" t="s">
        <v>294</v>
      </c>
      <c r="BF5" s="38" t="s">
        <v>295</v>
      </c>
      <c r="BG5" s="38" t="s">
        <v>178</v>
      </c>
      <c r="BH5" s="38" t="s">
        <v>296</v>
      </c>
      <c r="BI5" s="38" t="s">
        <v>297</v>
      </c>
      <c r="BJ5" s="38" t="s">
        <v>298</v>
      </c>
      <c r="BK5" s="38" t="s">
        <v>299</v>
      </c>
    </row>
    <row r="6" spans="1:63">
      <c r="A6" s="38" t="s">
        <v>300</v>
      </c>
    </row>
    <row r="7" spans="1:63">
      <c r="A7" s="38" t="s">
        <v>301</v>
      </c>
    </row>
    <row r="8" spans="1:63">
      <c r="A8" s="38" t="s">
        <v>302</v>
      </c>
    </row>
    <row r="9" spans="1:63">
      <c r="A9" s="38" t="s">
        <v>303</v>
      </c>
    </row>
    <row r="10" spans="1:63">
      <c r="A10" s="38" t="s">
        <v>304</v>
      </c>
    </row>
    <row r="11" spans="1:63">
      <c r="A11" s="38" t="s">
        <v>305</v>
      </c>
    </row>
    <row r="12" spans="1:63">
      <c r="A12" s="38" t="s">
        <v>306</v>
      </c>
    </row>
    <row r="13" spans="1:63">
      <c r="A13" s="38" t="s">
        <v>307</v>
      </c>
    </row>
    <row r="14" spans="1:63">
      <c r="A14" s="38" t="s">
        <v>308</v>
      </c>
    </row>
    <row r="15" spans="1:63">
      <c r="A15" s="38" t="s">
        <v>309</v>
      </c>
    </row>
    <row r="16" spans="1:63">
      <c r="A16" s="38" t="s">
        <v>310</v>
      </c>
    </row>
    <row r="17" spans="1:1">
      <c r="A17" s="38" t="s">
        <v>311</v>
      </c>
    </row>
    <row r="18" spans="1:1">
      <c r="A18" s="38" t="s">
        <v>312</v>
      </c>
    </row>
    <row r="19" spans="1:1">
      <c r="A19" s="38" t="s">
        <v>313</v>
      </c>
    </row>
    <row r="20" spans="1:1">
      <c r="A20" s="38" t="s">
        <v>314</v>
      </c>
    </row>
    <row r="21" spans="1:1">
      <c r="A21" s="38" t="s">
        <v>315</v>
      </c>
    </row>
    <row r="22" spans="1:1">
      <c r="A22" s="38" t="s">
        <v>316</v>
      </c>
    </row>
    <row r="23" spans="1:1">
      <c r="A23" s="38" t="s">
        <v>317</v>
      </c>
    </row>
    <row r="24" spans="1:1">
      <c r="A24" s="38" t="s">
        <v>318</v>
      </c>
    </row>
    <row r="25" spans="1:1">
      <c r="A25" s="38" t="s">
        <v>319</v>
      </c>
    </row>
    <row r="26" spans="1:1">
      <c r="A26" s="38" t="s">
        <v>320</v>
      </c>
    </row>
    <row r="27" spans="1:1">
      <c r="A27" s="38" t="s">
        <v>321</v>
      </c>
    </row>
    <row r="28" spans="1:1">
      <c r="A28" s="38" t="s">
        <v>322</v>
      </c>
    </row>
    <row r="29" spans="1:1">
      <c r="A29" s="38" t="s">
        <v>323</v>
      </c>
    </row>
    <row r="30" spans="1:1">
      <c r="A30" s="38" t="s">
        <v>324</v>
      </c>
    </row>
    <row r="31" spans="1:1">
      <c r="A31" s="38" t="s">
        <v>325</v>
      </c>
    </row>
    <row r="32" spans="1:1">
      <c r="A32" s="38" t="s">
        <v>326</v>
      </c>
    </row>
    <row r="33" spans="1:1">
      <c r="A33" s="38" t="s">
        <v>327</v>
      </c>
    </row>
    <row r="34" spans="1:1">
      <c r="A34" s="38" t="s">
        <v>328</v>
      </c>
    </row>
    <row r="35" spans="1:1">
      <c r="A35" s="38" t="s">
        <v>329</v>
      </c>
    </row>
    <row r="36" spans="1:1">
      <c r="A36" s="38" t="s">
        <v>330</v>
      </c>
    </row>
    <row r="37" spans="1:1">
      <c r="A37" s="38" t="s">
        <v>331</v>
      </c>
    </row>
    <row r="38" spans="1:1">
      <c r="A38" s="38" t="s">
        <v>332</v>
      </c>
    </row>
    <row r="39" spans="1:1">
      <c r="A39" s="38" t="s">
        <v>333</v>
      </c>
    </row>
    <row r="40" spans="1:1">
      <c r="A40" s="38" t="s">
        <v>334</v>
      </c>
    </row>
    <row r="41" spans="1:1">
      <c r="A41" s="38" t="s">
        <v>335</v>
      </c>
    </row>
    <row r="42" spans="1:1">
      <c r="A42" s="38" t="s">
        <v>336</v>
      </c>
    </row>
    <row r="43" spans="1:1">
      <c r="A43" s="38" t="s">
        <v>337</v>
      </c>
    </row>
    <row r="44" spans="1:1">
      <c r="A44" s="38" t="s">
        <v>338</v>
      </c>
    </row>
    <row r="45" spans="1:1">
      <c r="A45" s="38" t="s">
        <v>339</v>
      </c>
    </row>
    <row r="46" spans="1:1">
      <c r="A46" s="38" t="s">
        <v>340</v>
      </c>
    </row>
    <row r="47" spans="1:1">
      <c r="A47" s="38" t="s">
        <v>341</v>
      </c>
    </row>
    <row r="48" spans="1:1">
      <c r="A48" s="38" t="s">
        <v>342</v>
      </c>
    </row>
    <row r="49" spans="1:1">
      <c r="A49" s="38" t="s">
        <v>343</v>
      </c>
    </row>
    <row r="50" spans="1:1">
      <c r="A50" s="38" t="s">
        <v>344</v>
      </c>
    </row>
    <row r="51" spans="1:1">
      <c r="A51" s="38" t="s">
        <v>345</v>
      </c>
    </row>
    <row r="52" spans="1:1">
      <c r="A52" s="38" t="s">
        <v>346</v>
      </c>
    </row>
    <row r="53" spans="1:1">
      <c r="A53" s="38" t="s">
        <v>347</v>
      </c>
    </row>
    <row r="54" spans="1:1">
      <c r="A54" s="38" t="s">
        <v>348</v>
      </c>
    </row>
    <row r="55" spans="1:1">
      <c r="A55" s="38" t="s">
        <v>349</v>
      </c>
    </row>
    <row r="56" spans="1:1">
      <c r="A56" s="38" t="s">
        <v>350</v>
      </c>
    </row>
    <row r="57" spans="1:1">
      <c r="A57" s="38" t="s">
        <v>351</v>
      </c>
    </row>
    <row r="58" spans="1:1">
      <c r="A58" s="38" t="s">
        <v>352</v>
      </c>
    </row>
    <row r="59" spans="1:1">
      <c r="A59" s="38" t="s">
        <v>353</v>
      </c>
    </row>
    <row r="60" spans="1:1">
      <c r="A60" s="38" t="s">
        <v>354</v>
      </c>
    </row>
    <row r="61" spans="1:1">
      <c r="A61" s="38" t="s">
        <v>355</v>
      </c>
    </row>
    <row r="62" spans="1:1">
      <c r="A62" s="38" t="s">
        <v>356</v>
      </c>
    </row>
    <row r="63" spans="1:1">
      <c r="A63" s="38" t="s">
        <v>357</v>
      </c>
    </row>
    <row r="64" spans="1:1">
      <c r="A64" s="38" t="s">
        <v>358</v>
      </c>
    </row>
    <row r="65" spans="1:1">
      <c r="A65" s="38" t="s">
        <v>359</v>
      </c>
    </row>
    <row r="66" spans="1:1">
      <c r="A66" s="38" t="s">
        <v>360</v>
      </c>
    </row>
    <row r="67" spans="1:1">
      <c r="A67" s="38" t="s">
        <v>361</v>
      </c>
    </row>
    <row r="68" spans="1:1">
      <c r="A68" s="38" t="s">
        <v>362</v>
      </c>
    </row>
    <row r="69" spans="1:1">
      <c r="A69" s="38" t="s">
        <v>363</v>
      </c>
    </row>
    <row r="70" spans="1:1">
      <c r="A70" s="38" t="s">
        <v>364</v>
      </c>
    </row>
    <row r="71" spans="1:1">
      <c r="A71" s="38" t="s">
        <v>365</v>
      </c>
    </row>
    <row r="72" spans="1:1">
      <c r="A72" s="38" t="s">
        <v>366</v>
      </c>
    </row>
    <row r="73" spans="1:1">
      <c r="A73" s="38" t="s">
        <v>367</v>
      </c>
    </row>
    <row r="74" spans="1:1">
      <c r="A74" s="38" t="s">
        <v>368</v>
      </c>
    </row>
    <row r="75" spans="1:1">
      <c r="A75" s="38" t="s">
        <v>369</v>
      </c>
    </row>
    <row r="76" spans="1:1">
      <c r="A76" s="38" t="s">
        <v>370</v>
      </c>
    </row>
    <row r="77" spans="1:1">
      <c r="A77" s="38" t="s">
        <v>371</v>
      </c>
    </row>
    <row r="78" spans="1:1">
      <c r="A78" s="38" t="s">
        <v>372</v>
      </c>
    </row>
    <row r="79" spans="1:1">
      <c r="A79" s="38" t="s">
        <v>373</v>
      </c>
    </row>
    <row r="80" spans="1:1">
      <c r="A80" s="38" t="s">
        <v>374</v>
      </c>
    </row>
    <row r="81" spans="1:1">
      <c r="A81" s="38" t="s">
        <v>375</v>
      </c>
    </row>
    <row r="82" spans="1:1">
      <c r="A82" s="38" t="s">
        <v>376</v>
      </c>
    </row>
    <row r="83" spans="1:1">
      <c r="A83" s="38" t="s">
        <v>377</v>
      </c>
    </row>
    <row r="84" spans="1:1">
      <c r="A84" s="38" t="s">
        <v>378</v>
      </c>
    </row>
    <row r="85" spans="1:1">
      <c r="A85" s="38" t="s">
        <v>379</v>
      </c>
    </row>
    <row r="86" spans="1:1">
      <c r="A86" s="38" t="s">
        <v>380</v>
      </c>
    </row>
    <row r="87" spans="1:1">
      <c r="A87" s="38" t="s">
        <v>381</v>
      </c>
    </row>
    <row r="88" spans="1:1">
      <c r="A88" s="38" t="s">
        <v>382</v>
      </c>
    </row>
    <row r="89" spans="1:1">
      <c r="A89" s="38" t="s">
        <v>383</v>
      </c>
    </row>
    <row r="90" spans="1:1">
      <c r="A90" s="38" t="s">
        <v>384</v>
      </c>
    </row>
    <row r="91" spans="1:1">
      <c r="A91" s="38" t="s">
        <v>385</v>
      </c>
    </row>
    <row r="92" spans="1:1">
      <c r="A92" s="38" t="s">
        <v>386</v>
      </c>
    </row>
    <row r="93" spans="1:1">
      <c r="A93" s="38" t="s">
        <v>387</v>
      </c>
    </row>
    <row r="94" spans="1:1">
      <c r="A94" s="38" t="s">
        <v>388</v>
      </c>
    </row>
    <row r="95" spans="1:1">
      <c r="A95" s="38" t="s">
        <v>389</v>
      </c>
    </row>
    <row r="96" spans="1:1">
      <c r="A96" s="38" t="s">
        <v>390</v>
      </c>
    </row>
    <row r="97" spans="1:1">
      <c r="A97" s="38" t="s">
        <v>391</v>
      </c>
    </row>
    <row r="98" spans="1:1">
      <c r="A98" s="38" t="s">
        <v>392</v>
      </c>
    </row>
    <row r="99" spans="1:1">
      <c r="A99" s="38" t="s">
        <v>393</v>
      </c>
    </row>
    <row r="100" spans="1:1">
      <c r="A100" s="38" t="s">
        <v>394</v>
      </c>
    </row>
    <row r="101" spans="1:1">
      <c r="A101" s="38" t="s">
        <v>395</v>
      </c>
    </row>
    <row r="102" spans="1:1">
      <c r="A102" s="38" t="s">
        <v>396</v>
      </c>
    </row>
    <row r="103" spans="1:1">
      <c r="A103" s="38" t="s">
        <v>397</v>
      </c>
    </row>
    <row r="104" spans="1:1">
      <c r="A104" s="38" t="s">
        <v>398</v>
      </c>
    </row>
    <row r="105" spans="1:1">
      <c r="A105" s="38" t="s">
        <v>399</v>
      </c>
    </row>
    <row r="106" spans="1:1">
      <c r="A106" s="38" t="s">
        <v>400</v>
      </c>
    </row>
    <row r="107" spans="1:1">
      <c r="A107" s="38" t="s">
        <v>401</v>
      </c>
    </row>
    <row r="108" spans="1:1">
      <c r="A108" s="38" t="s">
        <v>402</v>
      </c>
    </row>
    <row r="109" spans="1:1">
      <c r="A109" s="38" t="s">
        <v>403</v>
      </c>
    </row>
    <row r="110" spans="1:1">
      <c r="A110" s="38" t="s">
        <v>404</v>
      </c>
    </row>
    <row r="111" spans="1:1">
      <c r="A111" s="38" t="s">
        <v>405</v>
      </c>
    </row>
    <row r="112" spans="1:1">
      <c r="A112" s="38" t="s">
        <v>406</v>
      </c>
    </row>
    <row r="113" spans="1:1">
      <c r="A113" s="38" t="s">
        <v>407</v>
      </c>
    </row>
    <row r="114" spans="1:1">
      <c r="A114" s="38" t="s">
        <v>408</v>
      </c>
    </row>
    <row r="115" spans="1:1">
      <c r="A115" s="38" t="s">
        <v>409</v>
      </c>
    </row>
    <row r="116" spans="1:1">
      <c r="A116" s="38" t="s">
        <v>410</v>
      </c>
    </row>
    <row r="117" spans="1:1">
      <c r="A117" s="38" t="s">
        <v>411</v>
      </c>
    </row>
    <row r="118" spans="1:1">
      <c r="A118" s="38" t="s">
        <v>412</v>
      </c>
    </row>
    <row r="119" spans="1:1">
      <c r="A119" s="38" t="s">
        <v>413</v>
      </c>
    </row>
    <row r="120" spans="1:1">
      <c r="A120" s="38" t="s">
        <v>414</v>
      </c>
    </row>
    <row r="121" spans="1:1">
      <c r="A121" s="38" t="s">
        <v>415</v>
      </c>
    </row>
    <row r="122" spans="1:1">
      <c r="A122" s="38" t="s">
        <v>416</v>
      </c>
    </row>
    <row r="123" spans="1:1">
      <c r="A123" s="38" t="s">
        <v>417</v>
      </c>
    </row>
    <row r="124" spans="1:1">
      <c r="A124" s="38" t="s">
        <v>418</v>
      </c>
    </row>
    <row r="125" spans="1:1">
      <c r="A125" s="38" t="s">
        <v>419</v>
      </c>
    </row>
    <row r="126" spans="1:1">
      <c r="A126" s="38" t="s">
        <v>420</v>
      </c>
    </row>
    <row r="127" spans="1:1">
      <c r="A127" s="38" t="s">
        <v>421</v>
      </c>
    </row>
    <row r="128" spans="1:1">
      <c r="A128" s="38" t="s">
        <v>422</v>
      </c>
    </row>
    <row r="129" spans="1:1">
      <c r="A129" s="38" t="s">
        <v>423</v>
      </c>
    </row>
    <row r="130" spans="1:1">
      <c r="A130" s="38" t="s">
        <v>424</v>
      </c>
    </row>
    <row r="131" spans="1:1">
      <c r="A131" s="38" t="s">
        <v>425</v>
      </c>
    </row>
    <row r="132" spans="1:1">
      <c r="A132" s="38" t="s">
        <v>426</v>
      </c>
    </row>
    <row r="133" spans="1:1">
      <c r="A133" s="38" t="s">
        <v>427</v>
      </c>
    </row>
    <row r="134" spans="1:1">
      <c r="A134" s="38" t="s">
        <v>428</v>
      </c>
    </row>
    <row r="135" spans="1:1">
      <c r="A135" s="38" t="s">
        <v>429</v>
      </c>
    </row>
    <row r="136" spans="1:1">
      <c r="A136" s="38" t="s">
        <v>430</v>
      </c>
    </row>
    <row r="137" spans="1:1">
      <c r="A137" s="38" t="s">
        <v>431</v>
      </c>
    </row>
    <row r="138" spans="1:1">
      <c r="A138" s="38" t="s">
        <v>432</v>
      </c>
    </row>
    <row r="139" spans="1:1">
      <c r="A139" s="38" t="s">
        <v>433</v>
      </c>
    </row>
    <row r="140" spans="1:1">
      <c r="A140" s="38" t="s">
        <v>434</v>
      </c>
    </row>
    <row r="141" spans="1:1">
      <c r="A141" s="38" t="s">
        <v>435</v>
      </c>
    </row>
    <row r="142" spans="1:1">
      <c r="A142" s="38" t="s">
        <v>436</v>
      </c>
    </row>
    <row r="143" spans="1:1">
      <c r="A143" s="38" t="s">
        <v>437</v>
      </c>
    </row>
    <row r="144" spans="1:1">
      <c r="A144" s="38" t="s">
        <v>438</v>
      </c>
    </row>
    <row r="145" spans="1:1">
      <c r="A145" s="38" t="s">
        <v>439</v>
      </c>
    </row>
    <row r="146" spans="1:1">
      <c r="A146" s="38" t="s">
        <v>440</v>
      </c>
    </row>
    <row r="147" spans="1:1">
      <c r="A147" s="38" t="s">
        <v>441</v>
      </c>
    </row>
    <row r="148" spans="1:1">
      <c r="A148" s="38" t="s">
        <v>442</v>
      </c>
    </row>
    <row r="149" spans="1:1">
      <c r="A149" s="38" t="s">
        <v>443</v>
      </c>
    </row>
    <row r="150" spans="1:1">
      <c r="A150" s="38" t="s">
        <v>444</v>
      </c>
    </row>
    <row r="151" spans="1:1">
      <c r="A151" s="38" t="s">
        <v>445</v>
      </c>
    </row>
    <row r="152" spans="1:1">
      <c r="A152" s="38" t="s">
        <v>446</v>
      </c>
    </row>
    <row r="153" spans="1:1">
      <c r="A153" s="38" t="s">
        <v>447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2026-01-19T18:20:38Z</dcterms:created>
  <dcterms:modified xsi:type="dcterms:W3CDTF">2026-01-19T18:20:38Z</dcterms:modified>
</cp:coreProperties>
</file>