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<sst xmlns="http://schemas.openxmlformats.org/spreadsheetml/2006/main" count="509" uniqueCount="486">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</sst>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" fillId="0" borderId="3" xfId="0" applyFont="1" applyBorder="1"/>
    <xf numFmtId="165" fontId="1" fillId="5" borderId="27" xfId="0" applyNumberFormat="1" applyFont="1" applyFill="1" applyBorder="1"/>
    <xf numFmtId="0" fontId="2" fillId="0" borderId="8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166" fontId="1" fillId="0" borderId="17" xfId="0" applyNumberFormat="1" applyFont="1" applyBorder="1"/>
    <xf numFmtId="0" fontId="4" fillId="0" borderId="2" xfId="0" applyFont="1" applyBorder="1" applyAlignment="1">
      <alignment horizontal="left"/>
    </xf>
    <xf numFmtId="0" fontId="2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2" fillId="5" borderId="14" xfId="0" applyFont="1" applyFill="1" applyBorder="1" applyAlignment="1">
      <alignment horizontal="left"/>
    </xf>
    <xf numFmtId="0" fontId="2" fillId="0" borderId="13" xfId="0" applyFont="1" applyBorder="1" applyAlignment="1">
      <alignment horizontal="left"/>
    </xf>
    <xf numFmtId="166" fontId="1" fillId="5" borderId="27" xfId="0" applyNumberFormat="1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4" t="str">
        <f>IF($E$2="","",VLOOKUP($E$2,Sprachversionen!$B:$BN,2,FALSE))</f>
        <v>F I N A N Z B E R I C H T</v>
      </c>
      <c r="C1" s="2"/>
      <c r="J1" s="53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48" t="str">
        <f>IF($E$2="","Chose your language",VLOOKUP($E$2,Sprachversionen!$B:$BN,27,FALSE))</f>
        <v>Sprache</v>
      </c>
      <c r="E2" s="11" t="s">
        <v>1</v>
      </c>
      <c r="J2" s="64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4" t="str">
        <f>IF($E$2="","",VLOOKUP($E$2,Sprachversionen!$B:$BN,3,FALSE))</f>
        <v>ÜBERSICHT ÜBER EINNAHMEN UND AUSGABEN</v>
      </c>
      <c r="C3" s="2"/>
      <c r="D3" s="48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59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48" t="str">
        <f>IF($E$2="","",VLOOKUP($E$2,Sprachversionen!$B:$BN,4,FALSE))</f>
        <v>Projektnummer</v>
      </c>
      <c r="C5" s="6"/>
      <c r="D5" s="12" t="s">
        <v>3</v>
      </c>
    </row>
    <row r="6" spans="2:22">
      <c r="B6" s="48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48" t="str">
        <f>IF($E$2="","",VLOOKUP($E$2,Sprachversionen!$B:$BN,5,FALSE))</f>
        <v>Projektlaufzeit</v>
      </c>
      <c r="C8" s="6"/>
      <c r="D8" s="51" t="str">
        <f>IF($E$2="","",VLOOKUP($E$2,Sprachversionen!$B:$BN,7,FALSE))</f>
        <v>von (TT MM JJJJ):</v>
      </c>
      <c r="E8" s="8"/>
      <c r="F8" s="51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48" t="str">
        <f>IF($E$2="","",VLOOKUP($E$2,Sprachversionen!$B:$BN,6,FALSE))</f>
        <v>Aktueller Berichtszeitraum</v>
      </c>
      <c r="C9" s="6"/>
      <c r="D9" s="51" t="str">
        <f>IF($E$2="","",VLOOKUP($E$2,Sprachversionen!$B:$BN,7,FALSE))</f>
        <v>von (TT MM JJJJ):</v>
      </c>
      <c r="E9" s="8"/>
      <c r="F9" s="51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7" t="str">
        <f>IF($E$2="","",VLOOKUP($E$2,Sprachversionen!$B:$BN,11,FALSE))</f>
        <v>Bewilligtes Budget</v>
      </c>
      <c r="E11" s="60" t="str">
        <f>IF($E$2="","",VLOOKUP($E$2,Sprachversionen!$B:$BN,12,FALSE))</f>
        <v>Einnahmen im Berichtszeitraum</v>
      </c>
      <c r="F11" s="57" t="str">
        <f>IF($E$2="","",VLOOKUP($E$2,Sprachversionen!$B:$BN,13,FALSE))</f>
        <v>Einnahmen der gesamten Projektlaufzeit</v>
      </c>
      <c r="G11" s="57" t="str">
        <f>IF($E$2="","",VLOOKUP($E$2,Sprachversionen!$B:$BN,14,FALSE))</f>
        <v>% erhaltene Einnahmen</v>
      </c>
      <c r="H11" s="61" t="str">
        <f>IF($E$2="","",VLOOKUP($E$2,Sprachversionen!$B:$BN,15,FALSE))</f>
        <v>Begründung der Budgetüber- oder unterschreitung</v>
      </c>
      <c r="J11" s="63" t="str">
        <f>IF($E$2="","",VLOOKUP($E$2,Sprachversionen!$B:$BN,19,FALSE))</f>
        <v>KMW Mittel*</v>
      </c>
      <c r="K11" s="33"/>
      <c r="L11" s="34"/>
      <c r="M11" s="34"/>
      <c r="N11" s="34"/>
      <c r="O11" s="35"/>
      <c r="Q11" s="63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2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49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5" t="str">
        <f>IF($E$2="","",VLOOKUP($E$2,Sprachversionen!$B:$BN,22,FALSE))</f>
        <v>Datum</v>
      </c>
      <c r="M13" s="55" t="str">
        <f>IF($E$2="","",VLOOKUP($E$2,Sprachversionen!$B:$BN,63,FALSE))</f>
        <v>Euro</v>
      </c>
      <c r="N13" s="55" t="str">
        <f>IF(E3="",VLOOKUP($E$2,Sprachversionen!$B:$BN,28,FALSE),E3)</f>
        <v>EUR</v>
      </c>
      <c r="O13" s="50" t="str">
        <f>IF($E$2="","",VLOOKUP($E$2,Sprachversionen!$B:$BN,58,FALSE))</f>
        <v>WK</v>
      </c>
      <c r="Q13" s="36"/>
      <c r="R13" s="1"/>
      <c r="S13" s="55" t="str">
        <f>IF($E$2="","",VLOOKUP($E$2,Sprachversionen!$B:$BN,22,FALSE))</f>
        <v>Datum</v>
      </c>
      <c r="T13" s="55" t="str">
        <f>IF($E$2="","",VLOOKUP($E$2,Sprachversionen!$B:$BN,63,FALSE))</f>
        <v>Euro</v>
      </c>
      <c r="U13" s="55" t="str">
        <f>IF(E3="",VLOOKUP($E$2,Sprachversionen!$B:$BN,28,FALSE),E3)</f>
        <v>EUR</v>
      </c>
      <c r="V13" s="50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6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6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8">
        <f>IFERROR(F16/D16,0)</f>
        <v>0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6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8">
        <f>IFERROR(F17/D17,0)</f>
        <v>0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6" t="str">
        <f>IF($E$2="","",VLOOKUP($E$2,Sprachversionen!$B:$BN,19,FALSE))</f>
        <v>KMW Mittel*</v>
      </c>
      <c r="C18" s="24"/>
      <c r="D18" s="32">
        <v>0</v>
      </c>
      <c r="E18" s="28"/>
      <c r="F18" s="28"/>
      <c r="G18" s="58">
        <f>IFERROR(F18/D18,0)</f>
        <v>0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6" t="str">
        <f>IF($E$2="","",VLOOKUP($E$2,Sprachversionen!$B:$BN,20,FALSE))</f>
        <v>Zinserträge</v>
      </c>
      <c r="C19" s="24"/>
      <c r="D19" s="32">
        <v>0</v>
      </c>
      <c r="E19" s="28"/>
      <c r="F19" s="28"/>
      <c r="G19" s="58">
        <f>IFERROR(F19/D19,0)</f>
        <v>0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5" t="str">
        <f>IF($E$2="","",VLOOKUP($E$2,Sprachversionen!$B:$BN,21,FALSE))</f>
        <v>GESAMT</v>
      </c>
      <c r="C20" s="25"/>
      <c r="D20" s="52">
        <f>SUMPRODUCT(ROUND(D15:D19,2))</f>
        <v>0</v>
      </c>
      <c r="E20" s="52">
        <f>SUMPRODUCT(ROUND(E15:E19,2))</f>
        <v>0</v>
      </c>
      <c r="F20" s="52">
        <f>SUMPRODUCT(ROUND(F15:F19,2))</f>
        <v>0</v>
      </c>
      <c r="G20" s="67">
        <f>IFERROR(F20/D20,0)</f>
        <v>0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2026-01-19T23:49:59Z</dcterms:created>
  <dcterms:modified xsi:type="dcterms:W3CDTF">2026-01-19T23:49:59Z</dcterms:modified>
</cp:coreProperties>
</file>