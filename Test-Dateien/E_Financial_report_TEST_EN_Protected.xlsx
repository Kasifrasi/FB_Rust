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achversionen" sheetId="1" r:id="rId1"/>
    <sheet name="Financial Report" sheetId="2" r:id="rId2"/>
  </sheets>
  <calcPr calcId="124519" fullCalcOnLoad="1"/>
</workbook>
</file>

<file path=xl/sharedStrings.xml><?xml version="1.0" encoding="utf-8"?>
<sst xmlns="http://schemas.openxmlformats.org/spreadsheetml/2006/main" count="631" uniqueCount="612">
  <si>
    <t>AED</t>
  </si>
  <si>
    <t>deutsch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</si>
  <si>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</si>
  <si>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</si>
  <si>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</si>
  <si>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</si>
  <si>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</si>
  <si>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</si>
  <si>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</si>
  <si>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</si>
  <si>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</si>
  <si>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</si>
  <si>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</si>
  <si>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</si>
  <si>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</si>
  <si>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</si>
  <si>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</si>
  <si>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</si>
  <si>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</si>
  <si>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</si>
  <si>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</si>
  <si>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</si>
  <si>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</si>
  <si>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</si>
  <si>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</si>
  <si>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</si>
  <si>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</si>
  <si>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</si>
  <si>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</si>
  <si>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</si>
  <si>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</si>
  <si>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</si>
  <si>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</si>
  <si>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</si>
  <si>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</si>
  <si>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</si>
  <si>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</si>
  <si>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</si>
  <si>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</si>
  <si>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</si>
  <si>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</si>
  <si>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</si>
  <si>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</si>
  <si>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</si>
  <si>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</si>
  <si>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</si>
  <si>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</si>
  <si>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</si>
  <si>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</si>
  <si>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</si>
  <si>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</si>
  <si>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</si>
  <si>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</si>
  <si>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</si>
  <si>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</si>
  <si>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</si>
  <si>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</si>
  <si>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</si>
  <si>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</si>
  <si>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</si>
  <si>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</si>
  <si>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</si>
  <si>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</si>
  <si>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</si>
  <si>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</si>
  <si>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</si>
  <si>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</si>
  <si>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</si>
  <si>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</si>
  <si>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</si>
  <si>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</si>
  <si>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</si>
  <si>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</si>
  <si>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</si>
  <si>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</si>
  <si>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</si>
  <si>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</si>
  <si>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</si>
  <si>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</si>
  <si>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</si>
  <si>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</si>
  <si>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</si>
  <si>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</si>
  <si>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</si>
  <si>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</si>
  <si>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</si>
  <si>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</si>
  <si>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</si>
  <si>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</si>
  <si>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</si>
  <si>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</si>
  <si>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</si>
  <si>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</si>
  <si>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</si>
  <si>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</si>
  <si>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</si>
  <si>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</si>
  <si>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</si>
  <si>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</si>
  <si>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</si>
  <si>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</si>
  <si>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</si>
  <si>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</si>
  <si>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</si>
  <si>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</si>
  <si>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</si>
  <si>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</si>
  <si>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</si>
  <si>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</si>
  <si>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</si>
  <si>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</si>
  <si>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</si>
  <si>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</si>
  <si>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</si>
  <si>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</si>
  <si>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</si>
  <si>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</si>
  <si>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</si>
  <si>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</si>
  <si>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</si>
  <si>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</si>
  <si>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</si>
  <si>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</si>
  <si>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</si>
  <si>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</si>
  <si>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</si>
  <si>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</si>
  <si>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</si>
  <si>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</si>
  <si>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</si>
  <si>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</si>
  <si>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</si>
  <si>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</si>
  <si>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</si>
  <si>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</si>
  <si>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</si>
  <si>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</si>
  <si>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</si>
  <si>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</si>
  <si>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</si>
  <si>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</si>
  <si>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</si>
  <si>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</si>
  <si>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</si>
  <si>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</si>
  <si>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</si>
  <si>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</si>
  <si>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</si>
  <si>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</si>
  <si>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</si>
  <si>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</si>
  <si>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</si>
  <si>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</si>
  <si>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</si>
  <si>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</si>
  <si>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</si>
  <si>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</si>
  <si>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</si>
  <si>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</si>
  <si>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</si>
  <si>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</si>
  <si>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</si>
  <si>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</si>
  <si>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</si>
  <si>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</si>
  <si>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</si>
  <si>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</si>
  <si>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</si>
  <si>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</si>
  <si>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</si>
  <si>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</si>
  <si>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</si>
  <si>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</si>
  <si>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</si>
  <si>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</si>
  <si>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</si>
  <si>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</si>
  <si>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</si>
  <si>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</si>
  <si>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</si>
  <si>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</si>
  <si>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</si>
  <si>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</si>
  <si>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</si>
  <si>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</si>
  <si>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</si>
  <si>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</si>
  <si>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</si>
  <si>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</si>
  <si>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</si>
  <si>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</si>
  <si>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</si>
  <si>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</si>
  <si>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</si>
  <si>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</si>
  <si>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</si>
  <si>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</si>
  <si>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</si>
  <si>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</si>
  <si>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</si>
  <si>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</si>
  <si>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</si>
  <si>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</si>
  <si>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</si>
  <si>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</si>
  <si>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</si>
  <si>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</si>
  <si>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</si>
  <si>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</si>
  <si>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</si>
  <si>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</si>
  <si>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</si>
  <si>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</si>
  <si>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</si>
  <si>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</si>
  <si>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</si>
  <si>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</si>
  <si>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</si>
  <si>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</si>
  <si>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</si>
  <si>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</si>
  <si>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</si>
  <si>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</si>
  <si>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</si>
  <si>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</si>
  <si>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</si>
  <si>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</si>
  <si>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</si>
  <si>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</si>
  <si>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</si>
  <si>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</si>
  <si>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</si>
  <si>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</si>
  <si>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</si>
  <si>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</si>
  <si>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</si>
  <si>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</si>
  <si>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</si>
  <si>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</si>
  <si>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</si>
  <si>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</si>
  <si>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</si>
  <si>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português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</si>
  <si>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</si>
  <si>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</si>
  <si>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</si>
  <si>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</si>
  <si>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</si>
  <si>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</si>
  <si>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</si>
  <si>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</si>
  <si>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</si>
  <si>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</si>
  <si>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</si>
  <si>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</si>
  <si>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</si>
  <si>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</si>
  <si>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</si>
  <si>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</si>
  <si>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</si>
  <si>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</si>
  <si>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</si>
  <si>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</si>
  <si>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</si>
  <si>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</si>
  <si>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</si>
  <si>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</si>
  <si>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</si>
  <si>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</si>
  <si>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</si>
  <si>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</si>
  <si>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</si>
  <si>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</si>
  <si>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</si>
  <si>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</si>
  <si>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</si>
  <si>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</si>
  <si>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</si>
  <si>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</si>
  <si>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</si>
  <si>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</si>
  <si>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</si>
  <si>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</si>
  <si>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</si>
  <si>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</si>
  <si>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</si>
  <si>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</si>
  <si>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</si>
  <si>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</si>
  <si>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</si>
  <si>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</si>
  <si>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</si>
  <si>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</si>
  <si>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</si>
  <si>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</si>
  <si>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</si>
  <si>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</si>
  <si>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</si>
  <si>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</si>
  <si>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</si>
  <si>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</si>
  <si>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</si>
  <si>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</si>
  <si>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</si>
  <si>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</si>
  <si>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</si>
  <si>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</si>
  <si>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</si>
  <si>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</si>
  <si>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</si>
  <si>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</si>
  <si>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</si>
  <si>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</si>
  <si>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</si>
  <si>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</si>
  <si>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</si>
  <si>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</si>
  <si>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</si>
  <si>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</si>
  <si>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</si>
  <si>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</si>
  <si>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</si>
  <si>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</si>
  <si>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</si>
  <si>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</si>
  <si>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</si>
  <si>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</si>
  <si>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</si>
  <si>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</si>
  <si>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</si>
  <si>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</si>
  <si>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</si>
  <si>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</si>
  <si>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</si>
  <si>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</si>
  <si>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</si>
  <si>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</si>
  <si>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</si>
  <si>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</si>
  <si>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</si>
  <si>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</si>
  <si>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</si>
  <si>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</si>
  <si>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</si>
  <si>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</si>
  <si>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</si>
  <si>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</si>
  <si>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</si>
  <si>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</si>
  <si>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</si>
  <si>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</si>
  <si>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</si>
  <si>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</si>
  <si>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</si>
  <si>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</si>
  <si>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</si>
  <si>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</si>
  <si>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</si>
  <si>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</si>
  <si>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</si>
  <si>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</si>
  <si>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</si>
  <si>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</si>
  <si>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</si>
  <si>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</si>
  <si>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</si>
  <si>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</si>
  <si>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</si>
  <si>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</si>
  <si>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</si>
  <si>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</si>
  <si>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</si>
  <si>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</si>
  <si>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</si>
  <si>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</si>
  <si>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</si>
  <si>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</si>
  <si>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</si>
  <si>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</si>
  <si>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</si>
  <si>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</si>
  <si>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</si>
  <si>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</si>
  <si>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</si>
  <si>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</si>
  <si>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</si>
  <si>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</si>
  <si>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</si>
  <si>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</si>
  <si>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</si>
  <si>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</si>
  <si>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</si>
  <si>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</si>
  <si>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</si>
  <si>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</si>
  <si>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</si>
  <si>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</si>
  <si>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</si>
  <si>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</si>
  <si>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</si>
  <si>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</si>
  <si>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</si>
  <si>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</si>
  <si>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</si>
  <si>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</si>
  <si>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</si>
  <si>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</si>
  <si>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</si>
  <si>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</si>
  <si>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</si>
  <si>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</si>
  <si>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</si>
  <si>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</si>
  <si>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</si>
  <si>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</si>
  <si>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</si>
  <si>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</si>
  <si>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</si>
  <si>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</si>
  <si>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</si>
  <si>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</si>
  <si>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</si>
  <si>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</si>
  <si>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</si>
  <si>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</si>
  <si>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</si>
  <si>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</si>
  <si>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</si>
  <si>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</si>
  <si>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</si>
  <si>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</si>
  <si>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</si>
  <si>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</si>
  <si>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</si>
  <si>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</si>
  <si>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</si>
  <si>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</si>
  <si>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</si>
  <si>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</si>
  <si>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</si>
  <si>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</si>
  <si>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</si>
  <si>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</si>
  <si>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</si>
  <si>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</si>
  <si>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</si>
  <si>
    <t>_en</t>
  </si>
  <si>
    <t>Euro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</si>
  <si>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</si>
  <si>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</si>
  <si>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</si>
  <si>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</si>
  <si>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</si>
  <si>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</si>
  <si>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</si>
  <si>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</si>
  <si>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</si>
  <si>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</si>
  <si>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</si>
  <si>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</si>
  <si>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</si>
  <si>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</si>
  <si>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</si>
  <si>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</si>
  <si>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</si>
  <si>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</si>
  <si>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</si>
  <si>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</si>
  <si>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</si>
  <si>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</si>
  <si>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</si>
  <si>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</si>
  <si>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</si>
  <si>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</si>
  <si>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>1.</t>
  </si>
  <si>
    <t xml:space="preserve">14. </t>
  </si>
  <si>
    <t xml:space="preserve">32. </t>
  </si>
  <si>
    <t>1.1</t>
  </si>
  <si>
    <t xml:space="preserve">15. </t>
  </si>
  <si>
    <t xml:space="preserve">33. </t>
  </si>
  <si>
    <t>1.2</t>
  </si>
  <si>
    <t xml:space="preserve">16. </t>
  </si>
  <si>
    <t xml:space="preserve">34. </t>
  </si>
  <si>
    <t>1.3</t>
  </si>
  <si>
    <t xml:space="preserve">17. </t>
  </si>
  <si>
    <t xml:space="preserve">35. </t>
  </si>
  <si>
    <t>1.4</t>
  </si>
  <si>
    <t xml:space="preserve">18. </t>
  </si>
  <si>
    <t xml:space="preserve">36. 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</si>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</sst>
</file>

<file path=xl/styles.xml><?xml version="1.0" encoding="utf-8"?>
<styleSheet xmlns="http://schemas.openxmlformats.org/spreadsheetml/2006/main">
  <numFmts count="5">
    <numFmt numFmtId="164" formatCode="mm-dd-yy"/>
    <numFmt numFmtId="165" formatCode="#,##0.00"/>
    <numFmt numFmtId="166" formatCode="0.0000"/>
    <numFmt numFmtId="167" formatCode="0%"/>
    <numFmt numFmtId="168" formatCode="@"/>
  </numFmts>
  <fonts count="8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563C1"/>
      <name val="Arial"/>
      <family val="2"/>
    </font>
    <font>
      <b/>
      <sz val="10"/>
      <color theme="1"/>
      <name val="Arial"/>
      <family val="2"/>
    </font>
    <font>
      <b/>
      <sz val="10"/>
      <color rgb="FFBFBFBF"/>
      <name val="Arial"/>
      <family val="2"/>
    </font>
    <font>
      <sz val="10"/>
      <color rgb="FFBFBFB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/>
    <xf numFmtId="0" fontId="4" fillId="0" borderId="7" xfId="0" applyFont="1" applyBorder="1" applyAlignment="1">
      <alignment horizontal="left"/>
    </xf>
    <xf numFmtId="0" fontId="2" fillId="3" borderId="8" xfId="0" applyFont="1" applyFill="1" applyBorder="1"/>
    <xf numFmtId="0" fontId="4" fillId="0" borderId="0" xfId="0" applyFont="1"/>
    <xf numFmtId="0" fontId="2" fillId="3" borderId="8" xfId="0" applyFont="1" applyFill="1" applyBorder="1" applyAlignment="1">
      <alignment horizontal="left" wrapText="1"/>
    </xf>
    <xf numFmtId="0" fontId="2" fillId="2" borderId="9" xfId="0" applyFont="1" applyFill="1" applyBorder="1"/>
    <xf numFmtId="0" fontId="2" fillId="0" borderId="10" xfId="0" applyFont="1" applyBorder="1"/>
    <xf numFmtId="164" fontId="2" fillId="3" borderId="10" xfId="0" applyNumberFormat="1" applyFont="1" applyFill="1" applyBorder="1" applyAlignment="1">
      <alignment horizontal="left"/>
    </xf>
    <xf numFmtId="0" fontId="2" fillId="4" borderId="9" xfId="0" applyFont="1" applyFill="1" applyBorder="1"/>
    <xf numFmtId="0" fontId="2" fillId="0" borderId="0" xfId="0" applyFont="1"/>
    <xf numFmtId="0" fontId="2" fillId="3" borderId="9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/>
    </xf>
    <xf numFmtId="0" fontId="2" fillId="0" borderId="15" xfId="0" applyFont="1" applyBorder="1"/>
    <xf numFmtId="0" fontId="2" fillId="0" borderId="16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right"/>
    </xf>
    <xf numFmtId="0" fontId="2" fillId="0" borderId="0" xfId="0" applyFont="1" applyAlignment="1">
      <alignment horizontal="left"/>
    </xf>
    <xf numFmtId="164" fontId="2" fillId="3" borderId="21" xfId="0" applyNumberFormat="1" applyFont="1" applyFill="1" applyBorder="1"/>
    <xf numFmtId="165" fontId="2" fillId="3" borderId="21" xfId="0" applyNumberFormat="1" applyFont="1" applyFill="1" applyBorder="1"/>
    <xf numFmtId="166" fontId="2" fillId="0" borderId="21" xfId="0" applyNumberFormat="1" applyFont="1" applyBorder="1"/>
    <xf numFmtId="0" fontId="1" fillId="0" borderId="22" xfId="0" applyFont="1" applyBorder="1" applyAlignment="1">
      <alignment horizontal="left"/>
    </xf>
    <xf numFmtId="165" fontId="2" fillId="4" borderId="21" xfId="0" applyNumberFormat="1" applyFont="1" applyFill="1" applyBorder="1" applyAlignment="1">
      <alignment horizontal="right"/>
    </xf>
    <xf numFmtId="165" fontId="2" fillId="3" borderId="21" xfId="0" applyNumberFormat="1" applyFont="1" applyFill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3" borderId="23" xfId="0" applyFont="1" applyFill="1" applyBorder="1" applyAlignment="1">
      <alignment horizontal="left" wrapText="1"/>
    </xf>
    <xf numFmtId="0" fontId="1" fillId="0" borderId="17" xfId="0" applyFont="1" applyBorder="1" applyAlignment="1">
      <alignment horizontal="left"/>
    </xf>
    <xf numFmtId="167" fontId="2" fillId="0" borderId="21" xfId="0" applyNumberFormat="1" applyFont="1" applyBorder="1" applyAlignment="1">
      <alignment horizontal="right"/>
    </xf>
    <xf numFmtId="0" fontId="1" fillId="0" borderId="24" xfId="0" applyFont="1" applyBorder="1" applyAlignment="1">
      <alignment horizontal="left"/>
    </xf>
    <xf numFmtId="0" fontId="1" fillId="5" borderId="25" xfId="0" applyFont="1" applyFill="1" applyBorder="1" applyAlignment="1">
      <alignment horizontal="left"/>
    </xf>
    <xf numFmtId="165" fontId="2" fillId="5" borderId="26" xfId="0" applyNumberFormat="1" applyFont="1" applyFill="1" applyBorder="1" applyAlignment="1">
      <alignment horizontal="right"/>
    </xf>
    <xf numFmtId="167" fontId="2" fillId="5" borderId="26" xfId="0" applyNumberFormat="1" applyFont="1" applyFill="1" applyBorder="1" applyAlignment="1">
      <alignment horizontal="right"/>
    </xf>
    <xf numFmtId="0" fontId="2" fillId="5" borderId="27" xfId="0" applyFont="1" applyFill="1" applyBorder="1" applyAlignment="1">
      <alignment horizontal="left" wrapText="1"/>
    </xf>
    <xf numFmtId="0" fontId="2" fillId="0" borderId="28" xfId="0" applyFont="1" applyBorder="1" applyAlignment="1">
      <alignment horizontal="right"/>
    </xf>
    <xf numFmtId="0" fontId="2" fillId="0" borderId="8" xfId="0" applyFont="1" applyBorder="1" applyAlignment="1">
      <alignment horizontal="left"/>
    </xf>
    <xf numFmtId="168" fontId="5" fillId="0" borderId="29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165" fontId="5" fillId="0" borderId="21" xfId="0" applyNumberFormat="1" applyFont="1" applyBorder="1" applyAlignment="1">
      <alignment horizontal="right" vertical="center" wrapText="1"/>
    </xf>
    <xf numFmtId="167" fontId="5" fillId="0" borderId="21" xfId="0" applyNumberFormat="1" applyFont="1" applyBorder="1" applyAlignment="1">
      <alignment horizontal="right" vertical="center"/>
    </xf>
    <xf numFmtId="0" fontId="5" fillId="0" borderId="23" xfId="0" applyFont="1" applyBorder="1" applyAlignment="1">
      <alignment horizontal="left" vertical="center"/>
    </xf>
    <xf numFmtId="168" fontId="2" fillId="0" borderId="29" xfId="0" applyNumberFormat="1" applyFont="1" applyBorder="1" applyAlignment="1">
      <alignment horizontal="right" vertical="center"/>
    </xf>
    <xf numFmtId="0" fontId="2" fillId="3" borderId="21" xfId="0" applyFont="1" applyFill="1" applyBorder="1" applyAlignment="1">
      <alignment horizontal="left" vertical="center" wrapText="1"/>
    </xf>
    <xf numFmtId="165" fontId="2" fillId="4" borderId="21" xfId="0" applyNumberFormat="1" applyFont="1" applyFill="1" applyBorder="1" applyAlignment="1">
      <alignment horizontal="right" vertical="center" wrapText="1"/>
    </xf>
    <xf numFmtId="165" fontId="2" fillId="3" borderId="21" xfId="0" applyNumberFormat="1" applyFont="1" applyFill="1" applyBorder="1" applyAlignment="1">
      <alignment horizontal="left" vertical="center" wrapText="1"/>
    </xf>
    <xf numFmtId="165" fontId="2" fillId="3" borderId="21" xfId="0" applyNumberFormat="1" applyFont="1" applyFill="1" applyBorder="1" applyAlignment="1">
      <alignment horizontal="right" vertical="center"/>
    </xf>
    <xf numFmtId="167" fontId="2" fillId="0" borderId="21" xfId="0" applyNumberFormat="1" applyFont="1" applyBorder="1" applyAlignment="1">
      <alignment horizontal="right" vertical="center"/>
    </xf>
    <xf numFmtId="0" fontId="2" fillId="3" borderId="23" xfId="0" applyFont="1" applyFill="1" applyBorder="1" applyAlignment="1">
      <alignment horizontal="left" vertical="center" wrapText="1"/>
    </xf>
    <xf numFmtId="0" fontId="5" fillId="5" borderId="29" xfId="0" applyFont="1" applyFill="1" applyBorder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165" fontId="5" fillId="5" borderId="21" xfId="0" applyNumberFormat="1" applyFont="1" applyFill="1" applyBorder="1" applyAlignment="1">
      <alignment horizontal="right" vertical="center"/>
    </xf>
    <xf numFmtId="0" fontId="5" fillId="5" borderId="23" xfId="0" applyFont="1" applyFill="1" applyBorder="1" applyAlignment="1">
      <alignment horizontal="left" vertical="center"/>
    </xf>
    <xf numFmtId="0" fontId="5" fillId="6" borderId="21" xfId="0" applyFont="1" applyFill="1" applyBorder="1" applyAlignment="1">
      <alignment horizontal="left" vertical="center"/>
    </xf>
    <xf numFmtId="0" fontId="6" fillId="6" borderId="21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5" fillId="5" borderId="26" xfId="0" applyFont="1" applyFill="1" applyBorder="1" applyAlignment="1">
      <alignment horizontal="left" vertical="center"/>
    </xf>
    <xf numFmtId="165" fontId="5" fillId="5" borderId="26" xfId="0" applyNumberFormat="1" applyFont="1" applyFill="1" applyBorder="1" applyAlignment="1">
      <alignment horizontal="right" vertical="center"/>
    </xf>
    <xf numFmtId="0" fontId="5" fillId="5" borderId="27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53"/>
  <sheetViews>
    <sheetView tabSelected="1" workbookViewId="0"/>
  </sheetViews>
  <sheetFormatPr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88</v>
      </c>
      <c r="AA2" t="s">
        <v>89</v>
      </c>
      <c r="AB2" t="s">
        <v>90</v>
      </c>
      <c r="AC2" t="s">
        <v>91</v>
      </c>
      <c r="AD2" t="s">
        <v>92</v>
      </c>
      <c r="AE2" t="s">
        <v>93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  <c r="AK2" t="s">
        <v>99</v>
      </c>
      <c r="AL2" t="s">
        <v>100</v>
      </c>
      <c r="AM2" t="s">
        <v>101</v>
      </c>
      <c r="AN2" t="s">
        <v>102</v>
      </c>
      <c r="AO2" t="s">
        <v>40</v>
      </c>
      <c r="AP2" t="s">
        <v>103</v>
      </c>
      <c r="AQ2" t="s">
        <v>84</v>
      </c>
      <c r="AR2" t="s">
        <v>104</v>
      </c>
      <c r="AS2" t="s">
        <v>105</v>
      </c>
      <c r="AT2" t="s">
        <v>106</v>
      </c>
      <c r="AU2" t="s">
        <v>107</v>
      </c>
      <c r="AV2" t="s">
        <v>47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I2" t="s">
        <v>120</v>
      </c>
      <c r="BJ2" t="s">
        <v>121</v>
      </c>
      <c r="BK2" t="s">
        <v>122</v>
      </c>
    </row>
    <row r="3" spans="1:63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 t="s">
        <v>128</v>
      </c>
      <c r="G3" t="s">
        <v>129</v>
      </c>
      <c r="H3" t="s">
        <v>130</v>
      </c>
      <c r="I3" t="s">
        <v>130</v>
      </c>
      <c r="J3" t="s">
        <v>131</v>
      </c>
      <c r="K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141</v>
      </c>
      <c r="U3" t="s">
        <v>142</v>
      </c>
      <c r="V3" t="s">
        <v>143</v>
      </c>
      <c r="W3" t="s">
        <v>85</v>
      </c>
      <c r="X3" t="s">
        <v>144</v>
      </c>
      <c r="Y3" t="s">
        <v>145</v>
      </c>
      <c r="Z3" t="s">
        <v>146</v>
      </c>
      <c r="AA3" t="s">
        <v>147</v>
      </c>
      <c r="AB3" t="s">
        <v>148</v>
      </c>
      <c r="AC3" t="s">
        <v>149</v>
      </c>
      <c r="AD3" t="s">
        <v>150</v>
      </c>
      <c r="AE3" t="s">
        <v>151</v>
      </c>
      <c r="AF3" t="s">
        <v>152</v>
      </c>
      <c r="AG3" t="s">
        <v>153</v>
      </c>
      <c r="AH3" t="s">
        <v>154</v>
      </c>
      <c r="AI3" t="s">
        <v>155</v>
      </c>
      <c r="AJ3" t="s">
        <v>156</v>
      </c>
      <c r="AK3" t="s">
        <v>157</v>
      </c>
      <c r="AL3" t="s">
        <v>158</v>
      </c>
      <c r="AM3" t="s">
        <v>159</v>
      </c>
      <c r="AN3" t="s">
        <v>102</v>
      </c>
      <c r="AO3" t="s">
        <v>40</v>
      </c>
      <c r="AP3" t="s">
        <v>160</v>
      </c>
      <c r="AQ3" t="s">
        <v>143</v>
      </c>
      <c r="AR3" t="s">
        <v>161</v>
      </c>
      <c r="AS3" t="s">
        <v>162</v>
      </c>
      <c r="AT3" t="s">
        <v>163</v>
      </c>
      <c r="AU3" t="s">
        <v>164</v>
      </c>
      <c r="AV3" t="s">
        <v>165</v>
      </c>
      <c r="AW3" t="s">
        <v>166</v>
      </c>
      <c r="AX3" t="s">
        <v>167</v>
      </c>
      <c r="AY3" t="s">
        <v>168</v>
      </c>
      <c r="AZ3" t="s">
        <v>169</v>
      </c>
      <c r="BA3" t="s">
        <v>170</v>
      </c>
      <c r="BB3" t="s">
        <v>171</v>
      </c>
      <c r="BC3" t="s">
        <v>172</v>
      </c>
      <c r="BD3" t="s">
        <v>173</v>
      </c>
      <c r="BE3" t="s">
        <v>174</v>
      </c>
      <c r="BF3" t="s">
        <v>175</v>
      </c>
      <c r="BG3" t="s">
        <v>176</v>
      </c>
      <c r="BH3" t="s">
        <v>177</v>
      </c>
      <c r="BI3" t="s">
        <v>178</v>
      </c>
      <c r="BJ3" t="s">
        <v>179</v>
      </c>
      <c r="BK3" t="s">
        <v>180</v>
      </c>
    </row>
    <row r="4" spans="1:63">
      <c r="A4" t="s">
        <v>181</v>
      </c>
      <c r="B4" t="s">
        <v>182</v>
      </c>
      <c r="C4" t="s">
        <v>183</v>
      </c>
      <c r="D4" t="s">
        <v>184</v>
      </c>
      <c r="E4" t="s">
        <v>185</v>
      </c>
      <c r="F4" t="s">
        <v>186</v>
      </c>
      <c r="G4" t="s">
        <v>187</v>
      </c>
      <c r="H4" t="s">
        <v>188</v>
      </c>
      <c r="I4" t="s">
        <v>189</v>
      </c>
      <c r="J4" t="s">
        <v>190</v>
      </c>
      <c r="K4" t="s">
        <v>191</v>
      </c>
      <c r="L4" t="s">
        <v>192</v>
      </c>
      <c r="M4" t="s">
        <v>193</v>
      </c>
      <c r="N4" t="s">
        <v>194</v>
      </c>
      <c r="O4" t="s">
        <v>195</v>
      </c>
      <c r="P4" t="s">
        <v>196</v>
      </c>
      <c r="Q4" t="s">
        <v>197</v>
      </c>
      <c r="R4" t="s">
        <v>198</v>
      </c>
      <c r="S4" t="s">
        <v>199</v>
      </c>
      <c r="T4" t="s">
        <v>200</v>
      </c>
      <c r="U4" t="s">
        <v>201</v>
      </c>
      <c r="V4" t="s">
        <v>143</v>
      </c>
      <c r="W4" t="s">
        <v>202</v>
      </c>
      <c r="X4" t="s">
        <v>203</v>
      </c>
      <c r="Y4" t="s">
        <v>204</v>
      </c>
      <c r="Z4" t="s">
        <v>205</v>
      </c>
      <c r="AA4" t="s">
        <v>206</v>
      </c>
      <c r="AB4" t="s">
        <v>207</v>
      </c>
      <c r="AC4" t="s">
        <v>208</v>
      </c>
      <c r="AD4" t="s">
        <v>209</v>
      </c>
      <c r="AE4" t="s">
        <v>210</v>
      </c>
      <c r="AF4" t="s">
        <v>211</v>
      </c>
      <c r="AG4" t="s">
        <v>212</v>
      </c>
      <c r="AH4" t="s">
        <v>213</v>
      </c>
      <c r="AI4" t="s">
        <v>214</v>
      </c>
      <c r="AJ4" t="s">
        <v>215</v>
      </c>
      <c r="AK4" t="s">
        <v>216</v>
      </c>
      <c r="AL4" t="s">
        <v>217</v>
      </c>
      <c r="AM4" t="s">
        <v>218</v>
      </c>
      <c r="AN4" t="s">
        <v>219</v>
      </c>
      <c r="AO4" t="s">
        <v>220</v>
      </c>
      <c r="AP4" t="s">
        <v>221</v>
      </c>
      <c r="AQ4" t="s">
        <v>84</v>
      </c>
      <c r="AR4" t="s">
        <v>222</v>
      </c>
      <c r="AS4" t="s">
        <v>223</v>
      </c>
      <c r="AT4" t="s">
        <v>224</v>
      </c>
      <c r="AU4" t="s">
        <v>225</v>
      </c>
      <c r="AV4" t="s">
        <v>226</v>
      </c>
      <c r="AW4" t="s">
        <v>227</v>
      </c>
      <c r="AX4" t="s">
        <v>228</v>
      </c>
      <c r="AY4" t="s">
        <v>229</v>
      </c>
      <c r="AZ4" t="s">
        <v>230</v>
      </c>
      <c r="BA4" t="s">
        <v>231</v>
      </c>
      <c r="BB4" t="s">
        <v>232</v>
      </c>
      <c r="BC4" t="s">
        <v>233</v>
      </c>
      <c r="BD4" t="s">
        <v>234</v>
      </c>
      <c r="BE4" t="s">
        <v>235</v>
      </c>
      <c r="BF4" t="s">
        <v>236</v>
      </c>
      <c r="BG4" t="s">
        <v>176</v>
      </c>
      <c r="BH4" t="s">
        <v>237</v>
      </c>
      <c r="BI4" t="s">
        <v>238</v>
      </c>
      <c r="BJ4" t="s">
        <v>239</v>
      </c>
      <c r="BK4" t="s">
        <v>240</v>
      </c>
    </row>
    <row r="5" spans="1:63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 t="s">
        <v>247</v>
      </c>
      <c r="H5" t="s">
        <v>188</v>
      </c>
      <c r="I5" t="s">
        <v>248</v>
      </c>
      <c r="J5" t="s">
        <v>249</v>
      </c>
      <c r="K5" t="s">
        <v>250</v>
      </c>
      <c r="L5" t="s">
        <v>251</v>
      </c>
      <c r="M5" t="s">
        <v>252</v>
      </c>
      <c r="N5" t="s">
        <v>253</v>
      </c>
      <c r="O5" t="s">
        <v>254</v>
      </c>
      <c r="P5" t="s">
        <v>255</v>
      </c>
      <c r="Q5" t="s">
        <v>256</v>
      </c>
      <c r="R5" t="s">
        <v>257</v>
      </c>
      <c r="S5" t="s">
        <v>258</v>
      </c>
      <c r="T5" t="s">
        <v>259</v>
      </c>
      <c r="U5" t="s">
        <v>260</v>
      </c>
      <c r="V5" t="s">
        <v>143</v>
      </c>
      <c r="W5" t="s">
        <v>261</v>
      </c>
      <c r="X5" t="s">
        <v>262</v>
      </c>
      <c r="Y5" t="s">
        <v>263</v>
      </c>
      <c r="Z5" t="s">
        <v>264</v>
      </c>
      <c r="AA5" t="s">
        <v>265</v>
      </c>
      <c r="AB5" t="s">
        <v>207</v>
      </c>
      <c r="AC5" t="s">
        <v>266</v>
      </c>
      <c r="AD5" t="s">
        <v>267</v>
      </c>
      <c r="AE5" t="s">
        <v>268</v>
      </c>
      <c r="AF5" t="s">
        <v>269</v>
      </c>
      <c r="AG5" t="s">
        <v>270</v>
      </c>
      <c r="AH5" t="s">
        <v>271</v>
      </c>
      <c r="AI5" t="s">
        <v>272</v>
      </c>
      <c r="AJ5" t="s">
        <v>273</v>
      </c>
      <c r="AK5" t="s">
        <v>274</v>
      </c>
      <c r="AL5" t="s">
        <v>275</v>
      </c>
      <c r="AM5" t="s">
        <v>276</v>
      </c>
      <c r="AN5" t="s">
        <v>277</v>
      </c>
      <c r="AO5" t="s">
        <v>278</v>
      </c>
      <c r="AP5" t="s">
        <v>279</v>
      </c>
      <c r="AQ5" t="s">
        <v>84</v>
      </c>
      <c r="AR5" t="s">
        <v>280</v>
      </c>
      <c r="AS5" t="s">
        <v>281</v>
      </c>
      <c r="AT5" t="s">
        <v>282</v>
      </c>
      <c r="AU5" t="s">
        <v>283</v>
      </c>
      <c r="AV5" t="s">
        <v>226</v>
      </c>
      <c r="AW5" t="s">
        <v>284</v>
      </c>
      <c r="AX5" t="s">
        <v>285</v>
      </c>
      <c r="AY5" t="s">
        <v>286</v>
      </c>
      <c r="AZ5" t="s">
        <v>287</v>
      </c>
      <c r="BA5" t="s">
        <v>288</v>
      </c>
      <c r="BB5" t="s">
        <v>289</v>
      </c>
      <c r="BC5" t="s">
        <v>290</v>
      </c>
      <c r="BD5" t="s">
        <v>291</v>
      </c>
      <c r="BE5" t="s">
        <v>292</v>
      </c>
      <c r="BF5" t="s">
        <v>293</v>
      </c>
      <c r="BG5" t="s">
        <v>176</v>
      </c>
      <c r="BH5" t="s">
        <v>294</v>
      </c>
      <c r="BI5" t="s">
        <v>295</v>
      </c>
      <c r="BJ5" t="s">
        <v>296</v>
      </c>
      <c r="BK5" t="s">
        <v>297</v>
      </c>
    </row>
    <row r="6" spans="1:63">
      <c r="A6" t="s">
        <v>298</v>
      </c>
    </row>
    <row r="7" spans="1:63">
      <c r="A7" t="s">
        <v>299</v>
      </c>
    </row>
    <row r="8" spans="1:63">
      <c r="A8" t="s">
        <v>300</v>
      </c>
    </row>
    <row r="9" spans="1:63">
      <c r="A9" t="s">
        <v>301</v>
      </c>
    </row>
    <row r="10" spans="1:63">
      <c r="A10" t="s">
        <v>302</v>
      </c>
    </row>
    <row r="11" spans="1:63">
      <c r="A11" t="s">
        <v>303</v>
      </c>
    </row>
    <row r="12" spans="1:63">
      <c r="A12" t="s">
        <v>304</v>
      </c>
    </row>
    <row r="13" spans="1:63">
      <c r="A13" t="s">
        <v>305</v>
      </c>
    </row>
    <row r="14" spans="1:63">
      <c r="A14" t="s">
        <v>306</v>
      </c>
    </row>
    <row r="15" spans="1:63">
      <c r="A15" t="s">
        <v>307</v>
      </c>
    </row>
    <row r="16" spans="1:63">
      <c r="A16" t="s">
        <v>308</v>
      </c>
    </row>
    <row r="17" spans="1:1">
      <c r="A17" t="s">
        <v>309</v>
      </c>
    </row>
    <row r="18" spans="1:1">
      <c r="A18" t="s">
        <v>310</v>
      </c>
    </row>
    <row r="19" spans="1:1">
      <c r="A19" t="s">
        <v>311</v>
      </c>
    </row>
    <row r="20" spans="1:1">
      <c r="A20" t="s">
        <v>312</v>
      </c>
    </row>
    <row r="21" spans="1:1">
      <c r="A21" t="s">
        <v>313</v>
      </c>
    </row>
    <row r="22" spans="1:1">
      <c r="A22" t="s">
        <v>314</v>
      </c>
    </row>
    <row r="23" spans="1:1">
      <c r="A23" t="s">
        <v>315</v>
      </c>
    </row>
    <row r="24" spans="1:1">
      <c r="A24" t="s">
        <v>316</v>
      </c>
    </row>
    <row r="25" spans="1:1">
      <c r="A25" t="s">
        <v>317</v>
      </c>
    </row>
    <row r="26" spans="1:1">
      <c r="A26" t="s">
        <v>318</v>
      </c>
    </row>
    <row r="27" spans="1:1">
      <c r="A27" t="s">
        <v>319</v>
      </c>
    </row>
    <row r="28" spans="1:1">
      <c r="A28" t="s">
        <v>320</v>
      </c>
    </row>
    <row r="29" spans="1:1">
      <c r="A29" t="s">
        <v>321</v>
      </c>
    </row>
    <row r="30" spans="1:1">
      <c r="A30" t="s">
        <v>322</v>
      </c>
    </row>
    <row r="31" spans="1:1">
      <c r="A31" t="s">
        <v>323</v>
      </c>
    </row>
    <row r="32" spans="1:1">
      <c r="A32" t="s">
        <v>324</v>
      </c>
    </row>
    <row r="33" spans="1:1">
      <c r="A33" t="s">
        <v>325</v>
      </c>
    </row>
    <row r="34" spans="1:1">
      <c r="A34" t="s">
        <v>326</v>
      </c>
    </row>
    <row r="35" spans="1:1">
      <c r="A35" t="s">
        <v>327</v>
      </c>
    </row>
    <row r="36" spans="1:1">
      <c r="A36" t="s">
        <v>328</v>
      </c>
    </row>
    <row r="37" spans="1:1">
      <c r="A37" t="s">
        <v>329</v>
      </c>
    </row>
    <row r="38" spans="1:1">
      <c r="A38" t="s">
        <v>330</v>
      </c>
    </row>
    <row r="39" spans="1:1">
      <c r="A39" t="s">
        <v>331</v>
      </c>
    </row>
    <row r="40" spans="1:1">
      <c r="A40" t="s">
        <v>332</v>
      </c>
    </row>
    <row r="41" spans="1:1">
      <c r="A41" t="s">
        <v>333</v>
      </c>
    </row>
    <row r="42" spans="1:1">
      <c r="A42" t="s">
        <v>334</v>
      </c>
    </row>
    <row r="43" spans="1:1">
      <c r="A43" t="s">
        <v>335</v>
      </c>
    </row>
    <row r="44" spans="1:1">
      <c r="A44" t="s">
        <v>336</v>
      </c>
    </row>
    <row r="45" spans="1:1">
      <c r="A45" t="s">
        <v>337</v>
      </c>
    </row>
    <row r="46" spans="1:1">
      <c r="A46" t="s">
        <v>338</v>
      </c>
    </row>
    <row r="47" spans="1:1">
      <c r="A47" t="s">
        <v>339</v>
      </c>
    </row>
    <row r="48" spans="1:1">
      <c r="A48" t="s">
        <v>340</v>
      </c>
    </row>
    <row r="49" spans="1:1">
      <c r="A49" t="s">
        <v>341</v>
      </c>
    </row>
    <row r="50" spans="1:1">
      <c r="A50" t="s">
        <v>342</v>
      </c>
    </row>
    <row r="51" spans="1:1">
      <c r="A51" t="s">
        <v>343</v>
      </c>
    </row>
    <row r="52" spans="1:1">
      <c r="A52" t="s">
        <v>344</v>
      </c>
    </row>
    <row r="53" spans="1:1">
      <c r="A53" t="s">
        <v>345</v>
      </c>
    </row>
    <row r="54" spans="1:1">
      <c r="A54" t="s">
        <v>346</v>
      </c>
    </row>
    <row r="55" spans="1:1">
      <c r="A55" t="s">
        <v>347</v>
      </c>
    </row>
    <row r="56" spans="1:1">
      <c r="A56" t="s">
        <v>348</v>
      </c>
    </row>
    <row r="57" spans="1:1">
      <c r="A57" t="s">
        <v>349</v>
      </c>
    </row>
    <row r="58" spans="1:1">
      <c r="A58" t="s">
        <v>350</v>
      </c>
    </row>
    <row r="59" spans="1:1">
      <c r="A59" t="s">
        <v>351</v>
      </c>
    </row>
    <row r="60" spans="1:1">
      <c r="A60" t="s">
        <v>352</v>
      </c>
    </row>
    <row r="61" spans="1:1">
      <c r="A61" t="s">
        <v>353</v>
      </c>
    </row>
    <row r="62" spans="1:1">
      <c r="A62" t="s">
        <v>354</v>
      </c>
    </row>
    <row r="63" spans="1:1">
      <c r="A63" t="s">
        <v>355</v>
      </c>
    </row>
    <row r="64" spans="1:1">
      <c r="A64" t="s">
        <v>356</v>
      </c>
    </row>
    <row r="65" spans="1:1">
      <c r="A65" t="s">
        <v>357</v>
      </c>
    </row>
    <row r="66" spans="1:1">
      <c r="A66" t="s">
        <v>358</v>
      </c>
    </row>
    <row r="67" spans="1:1">
      <c r="A67" t="s">
        <v>359</v>
      </c>
    </row>
    <row r="68" spans="1:1">
      <c r="A68" t="s">
        <v>360</v>
      </c>
    </row>
    <row r="69" spans="1:1">
      <c r="A69" t="s">
        <v>361</v>
      </c>
    </row>
    <row r="70" spans="1:1">
      <c r="A70" t="s">
        <v>362</v>
      </c>
    </row>
    <row r="71" spans="1:1">
      <c r="A71" t="s">
        <v>363</v>
      </c>
    </row>
    <row r="72" spans="1:1">
      <c r="A72" t="s">
        <v>364</v>
      </c>
    </row>
    <row r="73" spans="1:1">
      <c r="A73" t="s">
        <v>365</v>
      </c>
    </row>
    <row r="74" spans="1:1">
      <c r="A74" t="s">
        <v>366</v>
      </c>
    </row>
    <row r="75" spans="1:1">
      <c r="A75" t="s">
        <v>367</v>
      </c>
    </row>
    <row r="76" spans="1:1">
      <c r="A76" t="s">
        <v>368</v>
      </c>
    </row>
    <row r="77" spans="1:1">
      <c r="A77" t="s">
        <v>369</v>
      </c>
    </row>
    <row r="78" spans="1:1">
      <c r="A78" t="s">
        <v>370</v>
      </c>
    </row>
    <row r="79" spans="1:1">
      <c r="A79" t="s">
        <v>371</v>
      </c>
    </row>
    <row r="80" spans="1:1">
      <c r="A80" t="s">
        <v>372</v>
      </c>
    </row>
    <row r="81" spans="1:1">
      <c r="A81" t="s">
        <v>373</v>
      </c>
    </row>
    <row r="82" spans="1:1">
      <c r="A82" t="s">
        <v>374</v>
      </c>
    </row>
    <row r="83" spans="1:1">
      <c r="A83" t="s">
        <v>375</v>
      </c>
    </row>
    <row r="84" spans="1:1">
      <c r="A84" t="s">
        <v>376</v>
      </c>
    </row>
    <row r="85" spans="1:1">
      <c r="A85" t="s">
        <v>377</v>
      </c>
    </row>
    <row r="86" spans="1:1">
      <c r="A86" t="s">
        <v>378</v>
      </c>
    </row>
    <row r="87" spans="1:1">
      <c r="A87" t="s">
        <v>379</v>
      </c>
    </row>
    <row r="88" spans="1:1">
      <c r="A88" t="s">
        <v>380</v>
      </c>
    </row>
    <row r="89" spans="1:1">
      <c r="A89" t="s">
        <v>381</v>
      </c>
    </row>
    <row r="90" spans="1:1">
      <c r="A90" t="s">
        <v>382</v>
      </c>
    </row>
    <row r="91" spans="1:1">
      <c r="A91" t="s">
        <v>383</v>
      </c>
    </row>
    <row r="92" spans="1:1">
      <c r="A92" t="s">
        <v>384</v>
      </c>
    </row>
    <row r="93" spans="1:1">
      <c r="A93" t="s">
        <v>385</v>
      </c>
    </row>
    <row r="94" spans="1:1">
      <c r="A94" t="s">
        <v>386</v>
      </c>
    </row>
    <row r="95" spans="1:1">
      <c r="A95" t="s">
        <v>387</v>
      </c>
    </row>
    <row r="96" spans="1:1">
      <c r="A96" t="s">
        <v>388</v>
      </c>
    </row>
    <row r="97" spans="1:1">
      <c r="A97" t="s">
        <v>389</v>
      </c>
    </row>
    <row r="98" spans="1:1">
      <c r="A98" t="s">
        <v>390</v>
      </c>
    </row>
    <row r="99" spans="1:1">
      <c r="A99" t="s">
        <v>391</v>
      </c>
    </row>
    <row r="100" spans="1:1">
      <c r="A100" t="s">
        <v>392</v>
      </c>
    </row>
    <row r="101" spans="1:1">
      <c r="A101" t="s">
        <v>393</v>
      </c>
    </row>
    <row r="102" spans="1:1">
      <c r="A102" t="s">
        <v>394</v>
      </c>
    </row>
    <row r="103" spans="1:1">
      <c r="A103" t="s">
        <v>395</v>
      </c>
    </row>
    <row r="104" spans="1:1">
      <c r="A104" t="s">
        <v>396</v>
      </c>
    </row>
    <row r="105" spans="1:1">
      <c r="A105" t="s">
        <v>397</v>
      </c>
    </row>
    <row r="106" spans="1:1">
      <c r="A106" t="s">
        <v>398</v>
      </c>
    </row>
    <row r="107" spans="1:1">
      <c r="A107" t="s">
        <v>399</v>
      </c>
    </row>
    <row r="108" spans="1:1">
      <c r="A108" t="s">
        <v>400</v>
      </c>
    </row>
    <row r="109" spans="1:1">
      <c r="A109" t="s">
        <v>401</v>
      </c>
    </row>
    <row r="110" spans="1:1">
      <c r="A110" t="s">
        <v>402</v>
      </c>
    </row>
    <row r="111" spans="1:1">
      <c r="A111" t="s">
        <v>403</v>
      </c>
    </row>
    <row r="112" spans="1:1">
      <c r="A112" t="s">
        <v>404</v>
      </c>
    </row>
    <row r="113" spans="1:1">
      <c r="A113" t="s">
        <v>405</v>
      </c>
    </row>
    <row r="114" spans="1:1">
      <c r="A114" t="s">
        <v>406</v>
      </c>
    </row>
    <row r="115" spans="1:1">
      <c r="A115" t="s">
        <v>407</v>
      </c>
    </row>
    <row r="116" spans="1:1">
      <c r="A116" t="s">
        <v>408</v>
      </c>
    </row>
    <row r="117" spans="1:1">
      <c r="A117" t="s">
        <v>409</v>
      </c>
    </row>
    <row r="118" spans="1:1">
      <c r="A118" t="s">
        <v>410</v>
      </c>
    </row>
    <row r="119" spans="1:1">
      <c r="A119" t="s">
        <v>411</v>
      </c>
    </row>
    <row r="120" spans="1:1">
      <c r="A120" t="s">
        <v>412</v>
      </c>
    </row>
    <row r="121" spans="1:1">
      <c r="A121" t="s">
        <v>413</v>
      </c>
    </row>
    <row r="122" spans="1:1">
      <c r="A122" t="s">
        <v>414</v>
      </c>
    </row>
    <row r="123" spans="1:1">
      <c r="A123" t="s">
        <v>415</v>
      </c>
    </row>
    <row r="124" spans="1:1">
      <c r="A124" t="s">
        <v>416</v>
      </c>
    </row>
    <row r="125" spans="1:1">
      <c r="A125" t="s">
        <v>417</v>
      </c>
    </row>
    <row r="126" spans="1:1">
      <c r="A126" t="s">
        <v>418</v>
      </c>
    </row>
    <row r="127" spans="1:1">
      <c r="A127" t="s">
        <v>419</v>
      </c>
    </row>
    <row r="128" spans="1:1">
      <c r="A128" t="s">
        <v>420</v>
      </c>
    </row>
    <row r="129" spans="1:1">
      <c r="A129" t="s">
        <v>421</v>
      </c>
    </row>
    <row r="130" spans="1:1">
      <c r="A130" t="s">
        <v>422</v>
      </c>
    </row>
    <row r="131" spans="1:1">
      <c r="A131" t="s">
        <v>423</v>
      </c>
    </row>
    <row r="132" spans="1:1">
      <c r="A132" t="s">
        <v>424</v>
      </c>
    </row>
    <row r="133" spans="1:1">
      <c r="A133" t="s">
        <v>425</v>
      </c>
    </row>
    <row r="134" spans="1:1">
      <c r="A134" t="s">
        <v>426</v>
      </c>
    </row>
    <row r="135" spans="1:1">
      <c r="A135" t="s">
        <v>427</v>
      </c>
    </row>
    <row r="136" spans="1:1">
      <c r="A136" t="s">
        <v>428</v>
      </c>
    </row>
    <row r="137" spans="1:1">
      <c r="A137" t="s">
        <v>429</v>
      </c>
    </row>
    <row r="138" spans="1:1">
      <c r="A138" t="s">
        <v>430</v>
      </c>
    </row>
    <row r="139" spans="1:1">
      <c r="A139" t="s">
        <v>431</v>
      </c>
    </row>
    <row r="140" spans="1:1">
      <c r="A140" t="s">
        <v>432</v>
      </c>
    </row>
    <row r="141" spans="1:1">
      <c r="A141" t="s">
        <v>433</v>
      </c>
    </row>
    <row r="142" spans="1:1">
      <c r="A142" t="s">
        <v>434</v>
      </c>
    </row>
    <row r="143" spans="1:1">
      <c r="A143" t="s">
        <v>435</v>
      </c>
    </row>
    <row r="144" spans="1:1">
      <c r="A144" t="s">
        <v>436</v>
      </c>
    </row>
    <row r="145" spans="1:1">
      <c r="A145" t="s">
        <v>437</v>
      </c>
    </row>
    <row r="146" spans="1:1">
      <c r="A146" t="s">
        <v>438</v>
      </c>
    </row>
    <row r="147" spans="1:1">
      <c r="A147" t="s">
        <v>439</v>
      </c>
    </row>
    <row r="148" spans="1:1">
      <c r="A148" t="s">
        <v>440</v>
      </c>
    </row>
    <row r="149" spans="1:1">
      <c r="A149" t="s">
        <v>441</v>
      </c>
    </row>
    <row r="150" spans="1:1">
      <c r="A150" t="s">
        <v>442</v>
      </c>
    </row>
    <row r="151" spans="1:1">
      <c r="A151" t="s">
        <v>443</v>
      </c>
    </row>
    <row r="152" spans="1:1">
      <c r="A152" t="s">
        <v>444</v>
      </c>
    </row>
    <row r="153" spans="1:1">
      <c r="A153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84"/>
  <sheetViews>
    <sheetView showGridLines="0" zoomScale="85" zoomScaleNormal="85" workbookViewId="0"/>
  </sheetViews>
  <sheetFormatPr defaultRowHeight="15"/>
  <cols>
    <col min="1" max="1" width="4" customWidth="1"/>
    <col min="2" max="2" width="5.28515625" customWidth="1"/>
    <col min="3" max="3" width="56.5703125" customWidth="1"/>
    <col min="4" max="4" width="20.7109375" customWidth="1"/>
    <col min="5" max="5" width="19.28515625" customWidth="1"/>
    <col min="6" max="6" width="19.42578125" customWidth="1"/>
    <col min="7" max="7" width="12.42578125" customWidth="1"/>
    <col min="8" max="8" width="19.42578125" customWidth="1"/>
    <col min="9" max="10" width="4.7109375" customWidth="1"/>
    <col min="11" max="11" width="19.85546875" customWidth="1"/>
    <col min="12" max="12" width="11.5703125" customWidth="1"/>
    <col min="13" max="15" width="15.7109375" customWidth="1"/>
    <col min="16" max="16" width="5.7109375" customWidth="1"/>
    <col min="17" max="17" width="4.7109375" hidden="1" customWidth="1"/>
    <col min="18" max="18" width="19.85546875" hidden="1" customWidth="1"/>
    <col min="19" max="19" width="11.5703125" hidden="1" customWidth="1"/>
    <col min="20" max="22" width="15.7109375" hidden="1" customWidth="1"/>
    <col min="23" max="23" width="4.7109375" customWidth="1"/>
    <col min="24" max="24" width="37.42578125" customWidth="1"/>
    <col min="25" max="25" width="11.5703125" customWidth="1"/>
  </cols>
  <sheetData>
    <row r="1" spans="2:22">
      <c r="B1" s="1">
        <f>IF($E$2="","",VLOOKUP($E$2,Sprachversionen!$B:$BN,2,FALSE))</f>
        <v>0</v>
      </c>
      <c r="C1" s="1"/>
      <c r="J1" s="2">
        <f>IF($E$2="","",VLOOKUP($E$2,Sprachversionen!$B:$BN,60,FALSE))</f>
        <v>0</v>
      </c>
      <c r="K1" s="3"/>
      <c r="L1" s="3"/>
      <c r="M1" s="3"/>
      <c r="N1" s="3"/>
      <c r="O1" s="4"/>
    </row>
    <row r="2" spans="2:22">
      <c r="B2" t="s">
        <v>446</v>
      </c>
      <c r="C2" s="5"/>
      <c r="D2" s="6">
        <f>IF($E$2="","Chose your language",VLOOKUP($E$2,Sprachversionen!$B:$BN,27,FALSE))</f>
        <v>0</v>
      </c>
      <c r="E2" t="s">
        <v>64</v>
      </c>
      <c r="J2" s="8">
        <f>IF($E$2="","",VLOOKUP($E$2,Sprachversionen!$B:$BN,61,FALSE))</f>
        <v>0</v>
      </c>
      <c r="K2" s="8"/>
      <c r="L2" s="8"/>
      <c r="M2" s="8"/>
      <c r="N2" s="8"/>
      <c r="O2" s="8"/>
    </row>
    <row r="3" spans="2:22">
      <c r="B3" s="1">
        <f>IF($E$2="","",VLOOKUP($E$2,Sprachversionen!$B:$BN,3,FALSE))</f>
        <v>0</v>
      </c>
      <c r="C3" s="1"/>
      <c r="D3" s="6">
        <f>IF($E$2="","",VLOOKUP($E$2,Sprachversionen!$B:$BN,28,FALSE))</f>
        <v>0</v>
      </c>
      <c r="E3" s="9"/>
      <c r="J3" s="8"/>
      <c r="K3" s="8"/>
      <c r="L3" s="8"/>
      <c r="M3" s="8"/>
      <c r="N3" s="8"/>
      <c r="O3" s="8"/>
    </row>
    <row r="4" spans="2:22" ht="12.75" customHeight="1">
      <c r="B4" s="6"/>
      <c r="C4" s="6"/>
      <c r="E4" s="10"/>
      <c r="J4" s="11">
        <f>HYPERLINK(VLOOKUP($E$2,Sprachversionen!$B:$BN,62,FALSE))</f>
        <v>0</v>
      </c>
      <c r="K4" s="11"/>
      <c r="L4" s="11"/>
      <c r="M4" s="11"/>
      <c r="N4" s="11"/>
      <c r="O4" s="11"/>
    </row>
    <row r="5" spans="2:22" ht="12" customHeight="1">
      <c r="B5" s="6">
        <f>IF($E$2="","",VLOOKUP($E$2,Sprachversionen!$B:$BN,4,FALSE))</f>
        <v>0</v>
      </c>
      <c r="C5" s="6"/>
      <c r="D5" s="12"/>
      <c r="J5" s="13"/>
    </row>
    <row r="6" spans="2:22">
      <c r="B6" s="6">
        <f>IF($E$2="","",VLOOKUP($E$2,Sprachversionen!$B:$BN,26,FALSE))</f>
        <v>0</v>
      </c>
      <c r="C6" s="6"/>
      <c r="D6" s="14"/>
      <c r="E6" s="14"/>
      <c r="F6" s="14"/>
      <c r="G6" s="14"/>
      <c r="H6" s="14"/>
    </row>
    <row r="7" spans="2:22">
      <c r="B7" s="6"/>
      <c r="C7" s="6"/>
      <c r="D7" s="14"/>
      <c r="E7" s="14"/>
      <c r="F7" s="14"/>
      <c r="G7" s="14"/>
      <c r="H7" s="14"/>
      <c r="J7" s="15"/>
    </row>
    <row r="8" spans="2:22">
      <c r="B8" s="6">
        <f>IF($E$2="","",VLOOKUP($E$2,Sprachversionen!$B:$BN,5,FALSE))</f>
        <v>0</v>
      </c>
      <c r="C8" s="6"/>
      <c r="D8" s="16">
        <f>IF($E$2="","",VLOOKUP($E$2,Sprachversionen!$B:$BN,7,FALSE))</f>
        <v>0</v>
      </c>
      <c r="E8" s="17"/>
      <c r="F8" s="16">
        <f>IF($E$2="","",VLOOKUP($E$2,Sprachversionen!$B:$BN,8,FALSE))</f>
        <v>0</v>
      </c>
      <c r="G8" s="17"/>
      <c r="H8" s="17"/>
      <c r="J8" s="18"/>
      <c r="K8" s="19">
        <f>IF($E$2="","",VLOOKUP($E$2,Sprachversionen!$B:$BN,59,FALSE))</f>
        <v>0</v>
      </c>
    </row>
    <row r="9" spans="2:22">
      <c r="B9" s="6">
        <f>IF($E$2="","",VLOOKUP($E$2,Sprachversionen!$B:$BN,6,FALSE))</f>
        <v>0</v>
      </c>
      <c r="C9" s="6"/>
      <c r="D9" s="16">
        <f>D8</f>
        <v>0</v>
      </c>
      <c r="E9" s="17"/>
      <c r="F9" s="16">
        <f>F8</f>
        <v>0</v>
      </c>
      <c r="G9" s="17"/>
      <c r="H9" s="17"/>
      <c r="J9" s="20"/>
    </row>
    <row r="11" spans="2:22" ht="13.5" customHeight="1">
      <c r="B11" s="21"/>
      <c r="C11" s="22"/>
      <c r="D11" s="23">
        <f>IF($E$2="","",VLOOKUP($E$2,Sprachversionen!$B:$BN,11,FALSE))</f>
        <v>0</v>
      </c>
      <c r="E11" s="24">
        <f>IF($E$2="","",VLOOKUP($E$2,Sprachversionen!$B:$BN,12,FALSE))</f>
        <v>0</v>
      </c>
      <c r="F11" s="23">
        <f>IF($E$2="","",VLOOKUP($E$2,Sprachversionen!$B:$BN,13,FALSE))</f>
        <v>0</v>
      </c>
      <c r="G11" s="23">
        <f>IF($E$2="","",VLOOKUP($E$2,Sprachversionen!$B:$BN,14,FALSE))</f>
        <v>0</v>
      </c>
      <c r="H11" s="25">
        <f>IF($E$2="","",VLOOKUP($E$2,Sprachversionen!$B:$BN,15,FALSE))</f>
        <v>0</v>
      </c>
      <c r="J11" s="26">
        <f>B18</f>
        <v>0</v>
      </c>
      <c r="K11" s="26"/>
      <c r="L11" s="27"/>
      <c r="M11" s="27"/>
      <c r="N11" s="27"/>
      <c r="O11" s="28"/>
      <c r="Q11" s="26">
        <f>B18</f>
        <v>0</v>
      </c>
      <c r="R11" s="26"/>
      <c r="S11" s="27"/>
      <c r="T11" s="27"/>
      <c r="U11" s="27"/>
      <c r="V11" s="28"/>
    </row>
    <row r="12" spans="2:22" ht="12.75" customHeight="1">
      <c r="B12" s="29">
        <f>IF($E$2="","",VLOOKUP($E$2,Sprachversionen!$B:$BN,9,FALSE))</f>
        <v>0</v>
      </c>
      <c r="C12" s="29"/>
      <c r="D12" s="23"/>
      <c r="E12" s="24"/>
      <c r="F12" s="23"/>
      <c r="G12" s="23"/>
      <c r="H12" s="25"/>
      <c r="J12" s="30"/>
      <c r="K12" s="19"/>
      <c r="L12" s="19"/>
      <c r="M12" s="19"/>
      <c r="N12" s="19"/>
      <c r="O12" s="31"/>
      <c r="Q12" s="30"/>
      <c r="R12" s="19"/>
      <c r="S12" s="19"/>
      <c r="T12" s="19"/>
      <c r="U12" s="19"/>
      <c r="V12" s="31"/>
    </row>
    <row r="13" spans="2:22" ht="12.75" customHeight="1">
      <c r="B13" s="32">
        <f>IF($E$2="","",VLOOKUP($E$2,Sprachversionen!$B:$BN,10,FALSE))</f>
        <v>0</v>
      </c>
      <c r="C13" s="32"/>
      <c r="D13" s="23"/>
      <c r="E13" s="24"/>
      <c r="F13" s="23"/>
      <c r="G13" s="23"/>
      <c r="H13" s="25"/>
      <c r="J13" s="30"/>
      <c r="K13" s="19"/>
      <c r="L13" s="33">
        <f>IF($E$2="","",VLOOKUP($E$2,Sprachversionen!$B:$BN,22,FALSE))</f>
        <v>0</v>
      </c>
      <c r="M13" s="33" t="s">
        <v>447</v>
      </c>
      <c r="N13" s="33">
        <f>IF(E3="",VLOOKUP($E$2,Sprachversionen!$B:$BN,28,FALSE),E3)</f>
        <v>0</v>
      </c>
      <c r="O13" s="34">
        <f>IF($E$2="","",VLOOKUP($E$2,Sprachversionen!$B:$BN,58,FALSE))</f>
        <v>0</v>
      </c>
      <c r="Q13" s="30"/>
      <c r="R13" s="19"/>
      <c r="S13" s="33">
        <f>IF($E$2="","",VLOOKUP($E$2,Sprachversionen!$B:$BN,22,FALSE))</f>
        <v>0</v>
      </c>
      <c r="T13" s="33" t="s">
        <v>447</v>
      </c>
      <c r="U13" s="33">
        <f>IF(E3="",VLOOKUP($E$2,Sprachversionen!$B:$BN,28,FALSE),E3)</f>
        <v>0</v>
      </c>
      <c r="V13" s="34">
        <f>IF($E$2="","",VLOOKUP($E$2,Sprachversionen!$B:$BN,58,FALSE))</f>
        <v>0</v>
      </c>
    </row>
    <row r="14" spans="2:22" ht="12.75" customHeight="1">
      <c r="B14" s="35"/>
      <c r="C14" s="36"/>
      <c r="D14" s="23"/>
      <c r="E14" s="24"/>
      <c r="F14" s="23"/>
      <c r="G14" s="23"/>
      <c r="H14" s="25"/>
      <c r="J14" s="37" t="s">
        <v>448</v>
      </c>
      <c r="K14" s="38">
        <f>IF($E$2="","",VLOOKUP($E$2,Sprachversionen!$B:$BN,23,FALSE))</f>
        <v>0</v>
      </c>
      <c r="L14" s="39"/>
      <c r="M14" s="40"/>
      <c r="N14" s="40"/>
      <c r="O14" s="41">
        <f>IFERROR(INDEX($N$1:$N$31,ROW())/INDEX($M$1:$M$31,ROW()),"")</f>
        <v>0</v>
      </c>
      <c r="Q14" s="37" t="s">
        <v>449</v>
      </c>
      <c r="R14" s="38">
        <f>IF($E$2="","",VLOOKUP($E$2,Sprachversionen!$B:$BN,23,FALSE))</f>
        <v>0</v>
      </c>
      <c r="S14" s="39"/>
      <c r="T14" s="40"/>
      <c r="U14" s="40"/>
      <c r="V14" s="41">
        <f>IFERROR(INDEX($U$1:$U$31,ROW())/INDEX($T$1:$T$31,ROW()),"")</f>
        <v>0</v>
      </c>
    </row>
    <row r="15" spans="2:22">
      <c r="B15" s="42">
        <f>IF($E$2="","",VLOOKUP($E$2,Sprachversionen!$B:$BN,16,FALSE))</f>
        <v>0</v>
      </c>
      <c r="C15" s="42"/>
      <c r="D15" s="43"/>
      <c r="E15" s="44"/>
      <c r="F15" s="44"/>
      <c r="G15" s="45"/>
      <c r="H15" s="46"/>
      <c r="J15" s="37" t="s">
        <v>450</v>
      </c>
      <c r="K15" s="38">
        <f>IF($E$2="","",VLOOKUP($E$2,Sprachversionen!$B:$BN,23,FALSE))</f>
        <v>0</v>
      </c>
      <c r="L15" s="39"/>
      <c r="M15" s="40"/>
      <c r="N15" s="40"/>
      <c r="O15" s="41">
        <f>IFERROR(INDEX($N$1:$N$31,ROW())/INDEX($M$1:$M$31,ROW()),"")</f>
        <v>0</v>
      </c>
      <c r="Q15" s="37" t="s">
        <v>451</v>
      </c>
      <c r="R15" s="38">
        <f>IF($E$2="","",VLOOKUP($E$2,Sprachversionen!$B:$BN,23,FALSE))</f>
        <v>0</v>
      </c>
      <c r="S15" s="39"/>
      <c r="T15" s="40"/>
      <c r="U15" s="40"/>
      <c r="V15" s="41">
        <f>IFERROR(INDEX($U$1:$U$31,ROW())/INDEX($T$1:$T$31,ROW()),"")</f>
        <v>0</v>
      </c>
    </row>
    <row r="16" spans="2:22" ht="12.75" customHeight="1">
      <c r="B16" s="47">
        <f>IF($E$2="","",VLOOKUP($E$2,Sprachversionen!$B:$BN,17,FALSE))</f>
        <v>0</v>
      </c>
      <c r="C16" s="47"/>
      <c r="D16" s="43">
        <v>0</v>
      </c>
      <c r="E16" s="44"/>
      <c r="F16" s="44"/>
      <c r="G16" s="48">
        <f>IFERROR(INDEX($F$1:$F$1001,ROW())/INDEX($D$1:$D$1001,ROW()),0)</f>
        <v>0</v>
      </c>
      <c r="H16" s="46"/>
      <c r="J16" s="37" t="s">
        <v>452</v>
      </c>
      <c r="K16" s="38">
        <f>IF($E$2="","",VLOOKUP($E$2,Sprachversionen!$B:$BN,23,FALSE))</f>
        <v>0</v>
      </c>
      <c r="L16" s="39"/>
      <c r="M16" s="40"/>
      <c r="N16" s="40"/>
      <c r="O16" s="41">
        <f>IFERROR(INDEX($N$1:$N$31,ROW())/INDEX($M$1:$M$31,ROW()),"")</f>
        <v>0</v>
      </c>
      <c r="Q16" s="37" t="s">
        <v>453</v>
      </c>
      <c r="R16" s="38">
        <f>IF($E$2="","",VLOOKUP($E$2,Sprachversionen!$B:$BN,23,FALSE))</f>
        <v>0</v>
      </c>
      <c r="S16" s="39"/>
      <c r="T16" s="40"/>
      <c r="U16" s="40"/>
      <c r="V16" s="41">
        <f>IFERROR(INDEX($U$1:$U$31,ROW())/INDEX($T$1:$T$31,ROW()),"")</f>
        <v>0</v>
      </c>
    </row>
    <row r="17" spans="2:22" ht="12.75" customHeight="1">
      <c r="B17" s="47">
        <f>IF($E$2="","",VLOOKUP($E$2,Sprachversionen!$B:$BN,18,FALSE))</f>
        <v>0</v>
      </c>
      <c r="C17" s="47"/>
      <c r="D17" s="43">
        <v>0</v>
      </c>
      <c r="E17" s="44"/>
      <c r="F17" s="44"/>
      <c r="G17" s="48">
        <f>IFERROR(INDEX($F$1:$F$1001,ROW())/INDEX($D$1:$D$1001,ROW()),0)</f>
        <v>0</v>
      </c>
      <c r="H17" s="46"/>
      <c r="J17" s="37" t="s">
        <v>454</v>
      </c>
      <c r="K17" s="38">
        <f>IF($E$2="","",VLOOKUP($E$2,Sprachversionen!$B:$BN,23,FALSE))</f>
        <v>0</v>
      </c>
      <c r="L17" s="39"/>
      <c r="M17" s="40"/>
      <c r="N17" s="40"/>
      <c r="O17" s="41">
        <f>IFERROR(INDEX($N$1:$N$31,ROW())/INDEX($M$1:$M$31,ROW()),"")</f>
        <v>0</v>
      </c>
      <c r="Q17" s="37" t="s">
        <v>455</v>
      </c>
      <c r="R17" s="38">
        <f>IF($E$2="","",VLOOKUP($E$2,Sprachversionen!$B:$BN,23,FALSE))</f>
        <v>0</v>
      </c>
      <c r="S17" s="39"/>
      <c r="T17" s="40"/>
      <c r="U17" s="40"/>
      <c r="V17" s="41">
        <f>IFERROR(INDEX($U$1:$U$31,ROW())/INDEX($T$1:$T$31,ROW()),"")</f>
        <v>0</v>
      </c>
    </row>
    <row r="18" spans="2:22" ht="12.75" customHeight="1">
      <c r="B18" s="47">
        <f>IF($E$2="","",VLOOKUP($E$2,Sprachversionen!$B:$BN,19,FALSE))</f>
        <v>0</v>
      </c>
      <c r="C18" s="47"/>
      <c r="D18" s="43">
        <v>0</v>
      </c>
      <c r="E18" s="44"/>
      <c r="F18" s="44"/>
      <c r="G18" s="48">
        <f>IFERROR(INDEX($F$1:$F$1001,ROW())/INDEX($D$1:$D$1001,ROW()),0)</f>
        <v>0</v>
      </c>
      <c r="H18" s="46"/>
      <c r="J18" s="37" t="s">
        <v>456</v>
      </c>
      <c r="K18" s="38">
        <f>IF($E$2="","",VLOOKUP($E$2,Sprachversionen!$B:$BN,23,FALSE))</f>
        <v>0</v>
      </c>
      <c r="L18" s="39"/>
      <c r="M18" s="40"/>
      <c r="N18" s="40"/>
      <c r="O18" s="41">
        <f>IFERROR(INDEX($N$1:$N$31,ROW())/INDEX($M$1:$M$31,ROW()),"")</f>
        <v>0</v>
      </c>
      <c r="Q18" s="37" t="s">
        <v>457</v>
      </c>
      <c r="R18" s="38">
        <f>IF($E$2="","",VLOOKUP($E$2,Sprachversionen!$B:$BN,23,FALSE))</f>
        <v>0</v>
      </c>
      <c r="S18" s="39"/>
      <c r="T18" s="40"/>
      <c r="U18" s="40"/>
      <c r="V18" s="41">
        <f>IFERROR(INDEX($U$1:$U$31,ROW())/INDEX($T$1:$T$31,ROW()),"")</f>
        <v>0</v>
      </c>
    </row>
    <row r="19" spans="2:22" ht="12.75" customHeight="1">
      <c r="B19" s="49">
        <f>IF($E$2="","",VLOOKUP($E$2,Sprachversionen!$B:$BN,20,FALSE))</f>
        <v>0</v>
      </c>
      <c r="C19" s="49"/>
      <c r="D19" s="43">
        <v>0</v>
      </c>
      <c r="E19" s="44"/>
      <c r="F19" s="44"/>
      <c r="G19" s="48">
        <f>IFERROR(INDEX($F$1:$F$1001,ROW())/INDEX($D$1:$D$1001,ROW()),0)</f>
        <v>0</v>
      </c>
      <c r="H19" s="46"/>
      <c r="J19" s="37" t="s">
        <v>458</v>
      </c>
      <c r="K19" s="38">
        <f>IF($E$2="","",VLOOKUP($E$2,Sprachversionen!$B:$BN,23,FALSE))</f>
        <v>0</v>
      </c>
      <c r="L19" s="39"/>
      <c r="M19" s="40"/>
      <c r="N19" s="40"/>
      <c r="O19" s="41">
        <f>IFERROR(INDEX($N$1:$N$31,ROW())/INDEX($M$1:$M$31,ROW()),"")</f>
        <v>0</v>
      </c>
      <c r="Q19" s="37" t="s">
        <v>459</v>
      </c>
      <c r="R19" s="38">
        <f>IF($E$2="","",VLOOKUP($E$2,Sprachversionen!$B:$BN,23,FALSE))</f>
        <v>0</v>
      </c>
      <c r="S19" s="39"/>
      <c r="T19" s="40"/>
      <c r="U19" s="40"/>
      <c r="V19" s="41">
        <f>IFERROR(INDEX($U$1:$U$31,ROW())/INDEX($T$1:$T$31,ROW()),"")</f>
        <v>0</v>
      </c>
    </row>
    <row r="20" spans="2:22" ht="12.75" customHeight="1">
      <c r="B20" s="50">
        <f>IF($E$2="","",VLOOKUP($E$2,Sprachversionen!$B:$BN,21,FALSE))</f>
        <v>0</v>
      </c>
      <c r="C20" s="50"/>
      <c r="D20" s="51">
        <f>SUMPRODUCT(ROUND(D15:D19, 2))</f>
        <v>0</v>
      </c>
      <c r="E20" s="51">
        <f>SUMPRODUCT(ROUND(E15:E19, 2))</f>
        <v>0</v>
      </c>
      <c r="F20" s="51">
        <f>SUMPRODUCT(ROUND(F15:F19, 2))</f>
        <v>0</v>
      </c>
      <c r="G20" s="52">
        <f>IFERROR(INDEX($F$1:$F$1001,ROW())/INDEX($D$1:$D$1001,ROW()),0)</f>
        <v>0</v>
      </c>
      <c r="H20" s="53"/>
      <c r="J20" s="37" t="s">
        <v>460</v>
      </c>
      <c r="K20" s="38">
        <f>IF($E$2="","",VLOOKUP($E$2,Sprachversionen!$B:$BN,23,FALSE))</f>
        <v>0</v>
      </c>
      <c r="L20" s="39"/>
      <c r="M20" s="40"/>
      <c r="N20" s="40"/>
      <c r="O20" s="41">
        <f>IFERROR(INDEX($N$1:$N$31,ROW())/INDEX($M$1:$M$31,ROW()),"")</f>
        <v>0</v>
      </c>
      <c r="Q20" s="37" t="s">
        <v>461</v>
      </c>
      <c r="R20" s="38">
        <f>IF($E$2="","",VLOOKUP($E$2,Sprachversionen!$B:$BN,23,FALSE))</f>
        <v>0</v>
      </c>
      <c r="S20" s="39"/>
      <c r="T20" s="40"/>
      <c r="U20" s="40"/>
      <c r="V20" s="41">
        <f>IFERROR(INDEX($U$1:$U$31,ROW())/INDEX($T$1:$T$31,ROW()),"")</f>
        <v>0</v>
      </c>
    </row>
    <row r="21" spans="2:22" ht="13.5" customHeight="1">
      <c r="J21" s="37" t="s">
        <v>462</v>
      </c>
      <c r="K21" s="38">
        <f>IF($E$2="","",VLOOKUP($E$2,Sprachversionen!$B:$BN,23,FALSE))</f>
        <v>0</v>
      </c>
      <c r="L21" s="39"/>
      <c r="M21" s="40"/>
      <c r="N21" s="40"/>
      <c r="O21" s="41">
        <f>IFERROR(INDEX($N$1:$N$31,ROW())/INDEX($M$1:$M$31,ROW()),"")</f>
        <v>0</v>
      </c>
      <c r="Q21" s="37" t="s">
        <v>463</v>
      </c>
      <c r="R21" s="38">
        <f>IF($E$2="","",VLOOKUP($E$2,Sprachversionen!$B:$BN,23,FALSE))</f>
        <v>0</v>
      </c>
      <c r="S21" s="39"/>
      <c r="T21" s="40"/>
      <c r="U21" s="40"/>
      <c r="V21" s="41">
        <f>IFERROR(INDEX($U$1:$U$31,ROW())/INDEX($T$1:$T$31,ROW()),"")</f>
        <v>0</v>
      </c>
    </row>
    <row r="22" spans="2:22">
      <c r="J22" s="37" t="s">
        <v>464</v>
      </c>
      <c r="K22" s="38">
        <f>IF($E$2="","",VLOOKUP($E$2,Sprachversionen!$B:$BN,23,FALSE))</f>
        <v>0</v>
      </c>
      <c r="L22" s="39"/>
      <c r="M22" s="40"/>
      <c r="N22" s="40"/>
      <c r="O22" s="41">
        <f>IFERROR(INDEX($N$1:$N$31,ROW())/INDEX($M$1:$M$31,ROW()),"")</f>
        <v>0</v>
      </c>
      <c r="Q22" s="37" t="s">
        <v>465</v>
      </c>
      <c r="R22" s="38">
        <f>IF($E$2="","",VLOOKUP($E$2,Sprachversionen!$B:$BN,23,FALSE))</f>
        <v>0</v>
      </c>
      <c r="S22" s="39"/>
      <c r="T22" s="40"/>
      <c r="U22" s="40"/>
      <c r="V22" s="41">
        <f>IFERROR(INDEX($U$1:$U$31,ROW())/INDEX($T$1:$T$31,ROW()),"")</f>
        <v>0</v>
      </c>
    </row>
    <row r="23" spans="2:22" ht="13.5" customHeight="1">
      <c r="B23" s="21"/>
      <c r="C23" s="22"/>
      <c r="D23" s="23">
        <f>D11</f>
        <v>0</v>
      </c>
      <c r="E23" s="24">
        <f>IF($E$2="","",VLOOKUP($E$2,Sprachversionen!$B:$BN,25,FALSE))</f>
        <v>0</v>
      </c>
      <c r="F23" s="23">
        <f>IF($E$2="","",VLOOKUP($E$2,Sprachversionen!$B:$BN,55,FALSE))</f>
        <v>0</v>
      </c>
      <c r="G23" s="23">
        <f>IF($E$2="","",VLOOKUP($E$2,Sprachversionen!$B:$BN,56,FALSE))</f>
        <v>0</v>
      </c>
      <c r="H23" s="25">
        <f>H11</f>
        <v>0</v>
      </c>
      <c r="J23" s="37" t="s">
        <v>466</v>
      </c>
      <c r="K23" s="38">
        <f>IF($E$2="","",VLOOKUP($E$2,Sprachversionen!$B:$BN,23,FALSE))</f>
        <v>0</v>
      </c>
      <c r="L23" s="39"/>
      <c r="M23" s="40"/>
      <c r="N23" s="40"/>
      <c r="O23" s="41">
        <f>IFERROR(INDEX($N$1:$N$31,ROW())/INDEX($M$1:$M$31,ROW()),"")</f>
        <v>0</v>
      </c>
      <c r="Q23" s="37" t="s">
        <v>467</v>
      </c>
      <c r="R23" s="38">
        <f>IF($E$2="","",VLOOKUP($E$2,Sprachversionen!$B:$BN,23,FALSE))</f>
        <v>0</v>
      </c>
      <c r="S23" s="39"/>
      <c r="T23" s="40"/>
      <c r="U23" s="40"/>
      <c r="V23" s="41">
        <f>IFERROR(INDEX($U$1:$U$31,ROW())/INDEX($T$1:$T$31,ROW()),"")</f>
        <v>0</v>
      </c>
    </row>
    <row r="24" spans="2:22" ht="12.75" customHeight="1">
      <c r="B24" s="29">
        <f>IF($E$2="","",VLOOKUP($E$2,Sprachversionen!$B:$BN,24,FALSE))</f>
        <v>0</v>
      </c>
      <c r="C24" s="29"/>
      <c r="D24" s="23"/>
      <c r="E24" s="24"/>
      <c r="F24" s="23"/>
      <c r="G24" s="23"/>
      <c r="H24" s="25"/>
      <c r="J24" s="37" t="s">
        <v>468</v>
      </c>
      <c r="K24" s="38">
        <f>IF($E$2="","",VLOOKUP($E$2,Sprachversionen!$B:$BN,23,FALSE))</f>
        <v>0</v>
      </c>
      <c r="L24" s="39"/>
      <c r="M24" s="40"/>
      <c r="N24" s="40"/>
      <c r="O24" s="41">
        <f>IFERROR(INDEX($N$1:$N$31,ROW())/INDEX($M$1:$M$31,ROW()),"")</f>
        <v>0</v>
      </c>
      <c r="Q24" s="37" t="s">
        <v>469</v>
      </c>
      <c r="R24" s="38">
        <f>IF($E$2="","",VLOOKUP($E$2,Sprachversionen!$B:$BN,23,FALSE))</f>
        <v>0</v>
      </c>
      <c r="S24" s="39"/>
      <c r="T24" s="40"/>
      <c r="U24" s="40"/>
      <c r="V24" s="41">
        <f>IFERROR(INDEX($U$1:$U$31,ROW())/INDEX($T$1:$T$31,ROW()),"")</f>
        <v>0</v>
      </c>
    </row>
    <row r="25" spans="2:22" ht="12.75" customHeight="1">
      <c r="B25" s="32">
        <f>B13</f>
        <v>0</v>
      </c>
      <c r="C25" s="32"/>
      <c r="D25" s="23"/>
      <c r="E25" s="24"/>
      <c r="F25" s="23"/>
      <c r="G25" s="23"/>
      <c r="H25" s="25"/>
      <c r="J25" s="37" t="s">
        <v>470</v>
      </c>
      <c r="K25" s="38">
        <f>IF($E$2="","",VLOOKUP($E$2,Sprachversionen!$B:$BN,23,FALSE))</f>
        <v>0</v>
      </c>
      <c r="L25" s="39"/>
      <c r="M25" s="40"/>
      <c r="N25" s="40"/>
      <c r="O25" s="41">
        <f>IFERROR(INDEX($N$1:$N$31,ROW())/INDEX($M$1:$M$31,ROW()),"")</f>
        <v>0</v>
      </c>
      <c r="Q25" s="37" t="s">
        <v>471</v>
      </c>
      <c r="R25" s="38">
        <f>IF($E$2="","",VLOOKUP($E$2,Sprachversionen!$B:$BN,23,FALSE))</f>
        <v>0</v>
      </c>
      <c r="S25" s="39"/>
      <c r="T25" s="40"/>
      <c r="U25" s="40"/>
      <c r="V25" s="41">
        <f>IFERROR(INDEX($U$1:$U$31,ROW())/INDEX($T$1:$T$31,ROW()),"")</f>
        <v>0</v>
      </c>
    </row>
    <row r="26" spans="2:22" ht="12.75" customHeight="1">
      <c r="B26" s="35"/>
      <c r="C26" s="36"/>
      <c r="D26" s="23"/>
      <c r="E26" s="24"/>
      <c r="F26" s="23"/>
      <c r="G26" s="23"/>
      <c r="H26" s="25"/>
      <c r="J26" s="37" t="s">
        <v>472</v>
      </c>
      <c r="K26" s="38">
        <f>IF($E$2="","",VLOOKUP($E$2,Sprachversionen!$B:$BN,23,FALSE))</f>
        <v>0</v>
      </c>
      <c r="L26" s="39"/>
      <c r="M26" s="40"/>
      <c r="N26" s="40"/>
      <c r="O26" s="41">
        <f>IFERROR(INDEX($N$1:$N$31,ROW())/INDEX($M$1:$M$31,ROW()),"")</f>
        <v>0</v>
      </c>
      <c r="Q26" s="37" t="s">
        <v>473</v>
      </c>
      <c r="R26" s="38">
        <f>IF($E$2="","",VLOOKUP($E$2,Sprachversionen!$B:$BN,23,FALSE))</f>
        <v>0</v>
      </c>
      <c r="S26" s="39"/>
      <c r="T26" s="40"/>
      <c r="U26" s="40"/>
      <c r="V26" s="41">
        <f>IFERROR(INDEX($U$1:$U$31,ROW())/INDEX($T$1:$T$31,ROW()),"")</f>
        <v>0</v>
      </c>
    </row>
    <row r="27" spans="2:22" ht="12.75" customHeight="1">
      <c r="B27" s="56" t="s">
        <v>474</v>
      </c>
      <c r="C27" s="57" t="str">
        <f>IF($E$2="","",VLOOKUP($E$2,Sprachversionen!$B:$BN,29,FALSE))</f>
        <v/>
      </c>
      <c r="D27" s="58"/>
      <c r="E27" s="58"/>
      <c r="F27" s="58"/>
      <c r="G27" s="59"/>
      <c r="H27" s="60"/>
      <c r="J27" s="37" t="s">
        <v>475</v>
      </c>
      <c r="K27" s="38">
        <f>IF($E$2="","",VLOOKUP($E$2,Sprachversionen!$B:$BN,23,FALSE))</f>
        <v>0</v>
      </c>
      <c r="L27" s="39"/>
      <c r="M27" s="40"/>
      <c r="N27" s="40"/>
      <c r="O27" s="41">
        <f>IFERROR(INDEX($N$1:$N$31,ROW())/INDEX($M$1:$M$31,ROW()),"")</f>
        <v>0</v>
      </c>
      <c r="Q27" s="37" t="s">
        <v>476</v>
      </c>
      <c r="R27" s="38">
        <f>IF($E$2="","",VLOOKUP($E$2,Sprachversionen!$B:$BN,23,FALSE))</f>
        <v>0</v>
      </c>
      <c r="S27" s="39"/>
      <c r="T27" s="40"/>
      <c r="U27" s="40"/>
      <c r="V27" s="41">
        <f>IFERROR(INDEX($U$1:$U$31,ROW())/INDEX($T$1:$T$31,ROW()),"")</f>
        <v>0</v>
      </c>
    </row>
    <row r="28" spans="2:22">
      <c r="B28" s="61" t="s">
        <v>477</v>
      </c>
      <c r="C28" s="62"/>
      <c r="D28" s="63"/>
      <c r="E28" s="64"/>
      <c r="F28" s="65"/>
      <c r="G28" s="66" t="str">
        <f>IFERROR(INDEX($F$1:$F$1001,ROW())/INDEX($D$1:$D$1001,ROW()),0)</f>
        <v/>
      </c>
      <c r="H28" s="67"/>
      <c r="J28" s="37" t="s">
        <v>478</v>
      </c>
      <c r="K28" s="38">
        <f>IF($E$2="","",VLOOKUP($E$2,Sprachversionen!$B:$BN,23,FALSE))</f>
        <v>0</v>
      </c>
      <c r="L28" s="39"/>
      <c r="M28" s="40"/>
      <c r="N28" s="40"/>
      <c r="O28" s="41">
        <f>IFERROR(INDEX($N$1:$N$31,ROW())/INDEX($M$1:$M$31,ROW()),"")</f>
        <v>0</v>
      </c>
      <c r="Q28" s="37" t="s">
        <v>479</v>
      </c>
      <c r="R28" s="38">
        <f>IF($E$2="","",VLOOKUP($E$2,Sprachversionen!$B:$BN,23,FALSE))</f>
        <v>0</v>
      </c>
      <c r="S28" s="39"/>
      <c r="T28" s="40"/>
      <c r="U28" s="40"/>
      <c r="V28" s="41">
        <f>IFERROR(INDEX($U$1:$U$31,ROW())/INDEX($T$1:$T$31,ROW()),"")</f>
        <v>0</v>
      </c>
    </row>
    <row r="29" spans="2:22">
      <c r="B29" s="61" t="s">
        <v>480</v>
      </c>
      <c r="C29" s="62"/>
      <c r="D29" s="63"/>
      <c r="E29" s="64"/>
      <c r="F29" s="65"/>
      <c r="G29" s="66" t="str">
        <f>IFERROR(INDEX($F$1:$F$1001,ROW())/INDEX($D$1:$D$1001,ROW()),0)</f>
        <v/>
      </c>
      <c r="H29" s="67"/>
      <c r="J29" s="37" t="s">
        <v>481</v>
      </c>
      <c r="K29" s="38">
        <f>IF($E$2="","",VLOOKUP($E$2,Sprachversionen!$B:$BN,23,FALSE))</f>
        <v>0</v>
      </c>
      <c r="L29" s="39"/>
      <c r="M29" s="40"/>
      <c r="N29" s="40"/>
      <c r="O29" s="41">
        <f>IFERROR(INDEX($N$1:$N$31,ROW())/INDEX($M$1:$M$31,ROW()),"")</f>
        <v>0</v>
      </c>
      <c r="Q29" s="37" t="s">
        <v>482</v>
      </c>
      <c r="R29" s="38">
        <f>IF($E$2="","",VLOOKUP($E$2,Sprachversionen!$B:$BN,23,FALSE))</f>
        <v>0</v>
      </c>
      <c r="S29" s="39"/>
      <c r="T29" s="40"/>
      <c r="U29" s="40"/>
      <c r="V29" s="41">
        <f>IFERROR(INDEX($U$1:$U$31,ROW())/INDEX($T$1:$T$31,ROW()),"")</f>
        <v>0</v>
      </c>
    </row>
    <row r="30" spans="2:22">
      <c r="B30" s="61" t="s">
        <v>483</v>
      </c>
      <c r="C30" s="62"/>
      <c r="D30" s="63"/>
      <c r="E30" s="64"/>
      <c r="F30" s="65"/>
      <c r="G30" s="66" t="str">
        <f>IFERROR(INDEX($F$1:$F$1001,ROW())/INDEX($D$1:$D$1001,ROW()),0)</f>
        <v/>
      </c>
      <c r="H30" s="67"/>
      <c r="J30" s="37" t="s">
        <v>484</v>
      </c>
      <c r="K30" s="38">
        <f>IF($E$2="","",VLOOKUP($E$2,Sprachversionen!$B:$BN,23,FALSE))</f>
        <v>0</v>
      </c>
      <c r="L30" s="39"/>
      <c r="M30" s="40"/>
      <c r="N30" s="40"/>
      <c r="O30" s="41">
        <f>IFERROR(INDEX($N$1:$N$31,ROW())/INDEX($M$1:$M$31,ROW()),"")</f>
        <v>0</v>
      </c>
      <c r="Q30" s="37" t="s">
        <v>485</v>
      </c>
      <c r="R30" s="38">
        <f>IF($E$2="","",VLOOKUP($E$2,Sprachversionen!$B:$BN,23,FALSE))</f>
        <v>0</v>
      </c>
      <c r="S30" s="39"/>
      <c r="T30" s="40"/>
      <c r="U30" s="40"/>
      <c r="V30" s="41">
        <f>IFERROR(INDEX($U$1:$U$31,ROW())/INDEX($T$1:$T$31,ROW()),"")</f>
        <v>0</v>
      </c>
    </row>
    <row r="31" spans="2:22">
      <c r="B31" s="61" t="s">
        <v>486</v>
      </c>
      <c r="C31" s="62"/>
      <c r="D31" s="63"/>
      <c r="E31" s="64"/>
      <c r="F31" s="65"/>
      <c r="G31" s="66" t="str">
        <f>IFERROR(INDEX($F$1:$F$1001,ROW())/INDEX($D$1:$D$1001,ROW()),0)</f>
        <v/>
      </c>
      <c r="H31" s="67"/>
      <c r="J31" s="54" t="s">
        <v>487</v>
      </c>
      <c r="K31" s="55">
        <f>IF($E$2="","",VLOOKUP($E$2,Sprachversionen!$B:$BN,23,FALSE))</f>
        <v>0</v>
      </c>
      <c r="L31" s="39"/>
      <c r="M31" s="40"/>
      <c r="N31" s="40"/>
      <c r="O31" s="41">
        <f>IFERROR(INDEX($N$1:$N$31,ROW())/INDEX($M$1:$M$31,ROW()),"")</f>
        <v>0</v>
      </c>
      <c r="Q31" s="54" t="s">
        <v>488</v>
      </c>
      <c r="R31" s="55">
        <f>IF($E$2="","",VLOOKUP($E$2,Sprachversionen!$B:$BN,23,FALSE))</f>
        <v>0</v>
      </c>
      <c r="S31" s="39"/>
      <c r="T31" s="40"/>
      <c r="U31" s="40"/>
      <c r="V31" s="41">
        <f>IFERROR(INDEX($U$1:$U$31,ROW())/INDEX($T$1:$T$31,ROW()),"")</f>
        <v>0</v>
      </c>
    </row>
    <row r="32" spans="2:22">
      <c r="B32" s="61" t="s">
        <v>489</v>
      </c>
      <c r="C32" s="62"/>
      <c r="D32" s="63"/>
      <c r="E32" s="64"/>
      <c r="F32" s="65"/>
      <c r="G32" s="66" t="str">
        <f>IFERROR(INDEX($F$1:$F$1001,ROW())/INDEX($D$1:$D$1001,ROW()),0)</f>
        <v/>
      </c>
      <c r="H32" s="67"/>
    </row>
    <row r="33" spans="2:8">
      <c r="B33" s="61" t="s">
        <v>490</v>
      </c>
      <c r="C33" s="62"/>
      <c r="D33" s="63"/>
      <c r="E33" s="64"/>
      <c r="F33" s="65"/>
      <c r="G33" s="66" t="str">
        <f>IFERROR(INDEX($F$1:$F$1001,ROW())/INDEX($D$1:$D$1001,ROW()),0)</f>
        <v/>
      </c>
      <c r="H33" s="67"/>
    </row>
    <row r="34" spans="2:8">
      <c r="B34" s="61" t="s">
        <v>491</v>
      </c>
      <c r="C34" s="62"/>
      <c r="D34" s="63"/>
      <c r="E34" s="64"/>
      <c r="F34" s="65"/>
      <c r="G34" s="66" t="str">
        <f>IFERROR(INDEX($F$1:$F$1001,ROW())/INDEX($D$1:$D$1001,ROW()),0)</f>
        <v/>
      </c>
      <c r="H34" s="67"/>
    </row>
    <row r="35" spans="2:8">
      <c r="B35" s="61" t="s">
        <v>492</v>
      </c>
      <c r="C35" s="62"/>
      <c r="D35" s="63"/>
      <c r="E35" s="64"/>
      <c r="F35" s="65"/>
      <c r="G35" s="66" t="str">
        <f>IFERROR(INDEX($F$1:$F$1001,ROW())/INDEX($D$1:$D$1001,ROW()),0)</f>
        <v/>
      </c>
      <c r="H35" s="67"/>
    </row>
    <row r="36" spans="2:8">
      <c r="B36" s="61" t="s">
        <v>493</v>
      </c>
      <c r="C36" s="62"/>
      <c r="D36" s="63"/>
      <c r="E36" s="64"/>
      <c r="F36" s="65"/>
      <c r="G36" s="66" t="str">
        <f>IFERROR(INDEX($F$1:$F$1001,ROW())/INDEX($D$1:$D$1001,ROW()),0)</f>
        <v/>
      </c>
      <c r="H36" s="67"/>
    </row>
    <row r="37" spans="2:8">
      <c r="B37" s="61" t="s">
        <v>494</v>
      </c>
      <c r="C37" s="62"/>
      <c r="D37" s="63"/>
      <c r="E37" s="64"/>
      <c r="F37" s="65"/>
      <c r="G37" s="66" t="str">
        <f>IFERROR(INDEX($F$1:$F$1001,ROW())/INDEX($D$1:$D$1001,ROW()),0)</f>
        <v/>
      </c>
      <c r="H37" s="67"/>
    </row>
    <row r="38" spans="2:8">
      <c r="B38" s="61" t="s">
        <v>495</v>
      </c>
      <c r="C38" s="62"/>
      <c r="D38" s="63"/>
      <c r="E38" s="64"/>
      <c r="F38" s="65"/>
      <c r="G38" s="66" t="str">
        <f>IFERROR(INDEX($F$1:$F$1001,ROW())/INDEX($D$1:$D$1001,ROW()),0)</f>
        <v/>
      </c>
      <c r="H38" s="67"/>
    </row>
    <row r="39" spans="2:8">
      <c r="B39" s="61" t="s">
        <v>496</v>
      </c>
      <c r="C39" s="62"/>
      <c r="D39" s="63"/>
      <c r="E39" s="64"/>
      <c r="F39" s="65"/>
      <c r="G39" s="66" t="str">
        <f>IFERROR(INDEX($F$1:$F$1001,ROW())/INDEX($D$1:$D$1001,ROW()),0)</f>
        <v/>
      </c>
      <c r="H39" s="67"/>
    </row>
    <row r="40" spans="2:8">
      <c r="B40" s="61" t="s">
        <v>497</v>
      </c>
      <c r="C40" s="62"/>
      <c r="D40" s="63"/>
      <c r="E40" s="64"/>
      <c r="F40" s="65"/>
      <c r="G40" s="66" t="str">
        <f>IFERROR(INDEX($F$1:$F$1001,ROW())/INDEX($D$1:$D$1001,ROW()),0)</f>
        <v/>
      </c>
      <c r="H40" s="67"/>
    </row>
    <row r="41" spans="2:8">
      <c r="B41" s="61" t="s">
        <v>498</v>
      </c>
      <c r="C41" s="62"/>
      <c r="D41" s="63"/>
      <c r="E41" s="64"/>
      <c r="F41" s="65"/>
      <c r="G41" s="66" t="str">
        <f>IFERROR(INDEX($F$1:$F$1001,ROW())/INDEX($D$1:$D$1001,ROW()),0)</f>
        <v/>
      </c>
      <c r="H41" s="67"/>
    </row>
    <row r="42" spans="2:8">
      <c r="B42" s="61" t="s">
        <v>499</v>
      </c>
      <c r="C42" s="62"/>
      <c r="D42" s="63"/>
      <c r="E42" s="64"/>
      <c r="F42" s="65"/>
      <c r="G42" s="66" t="str">
        <f>IFERROR(INDEX($F$1:$F$1001,ROW())/INDEX($D$1:$D$1001,ROW()),0)</f>
        <v/>
      </c>
      <c r="H42" s="67"/>
    </row>
    <row r="43" spans="2:8">
      <c r="B43" s="61" t="s">
        <v>500</v>
      </c>
      <c r="C43" s="62"/>
      <c r="D43" s="63"/>
      <c r="E43" s="64"/>
      <c r="F43" s="65"/>
      <c r="G43" s="66" t="str">
        <f>IFERROR(INDEX($F$1:$F$1001,ROW())/INDEX($D$1:$D$1001,ROW()),0)</f>
        <v/>
      </c>
      <c r="H43" s="67"/>
    </row>
    <row r="44" spans="2:8">
      <c r="B44" s="61" t="s">
        <v>501</v>
      </c>
      <c r="C44" s="62"/>
      <c r="D44" s="63"/>
      <c r="E44" s="64"/>
      <c r="F44" s="65"/>
      <c r="G44" s="66" t="str">
        <f>IFERROR(INDEX($F$1:$F$1001,ROW())/INDEX($D$1:$D$1001,ROW()),0)</f>
        <v/>
      </c>
      <c r="H44" s="67"/>
    </row>
    <row r="45" spans="2:8">
      <c r="B45" s="61" t="s">
        <v>502</v>
      </c>
      <c r="C45" s="62"/>
      <c r="D45" s="63"/>
      <c r="E45" s="64"/>
      <c r="F45" s="65"/>
      <c r="G45" s="66" t="str">
        <f>IFERROR(INDEX($F$1:$F$1001,ROW())/INDEX($D$1:$D$1001,ROW()),0)</f>
        <v/>
      </c>
      <c r="H45" s="67"/>
    </row>
    <row r="46" spans="2:8">
      <c r="B46" s="61" t="s">
        <v>503</v>
      </c>
      <c r="C46" s="62"/>
      <c r="D46" s="63"/>
      <c r="E46" s="64"/>
      <c r="F46" s="65"/>
      <c r="G46" s="66" t="str">
        <f>IFERROR(INDEX($F$1:$F$1001,ROW())/INDEX($D$1:$D$1001,ROW()),0)</f>
        <v/>
      </c>
      <c r="H46" s="67"/>
    </row>
    <row r="47" spans="2:8">
      <c r="B47" s="61" t="s">
        <v>504</v>
      </c>
      <c r="C47" s="62"/>
      <c r="D47" s="63"/>
      <c r="E47" s="64"/>
      <c r="F47" s="65"/>
      <c r="G47" s="66" t="str">
        <f>IFERROR(INDEX($F$1:$F$1001,ROW())/INDEX($D$1:$D$1001,ROW()),0)</f>
        <v/>
      </c>
      <c r="H47" s="67"/>
    </row>
    <row r="48" spans="2:8">
      <c r="B48" s="68" t="str">
        <f>IF($E$2="","",VLOOKUP($E$2,Sprachversionen!$B:$BN,30,FALSE))</f>
        <v/>
      </c>
      <c r="C48" s="69"/>
      <c r="D48" s="70" t="str">
        <f>SUMPRODUCT(ROUND(D28:D47,2))</f>
        <v/>
      </c>
      <c r="E48" s="70" t="str">
        <f>SUMPRODUCT(ROUND(E28:E47,2))</f>
        <v/>
      </c>
      <c r="F48" s="70" t="str">
        <f>SUMPRODUCT(ROUND(F28:F47,2))</f>
        <v/>
      </c>
      <c r="G48" s="66" t="str">
        <f>IFERROR(INDEX($F$1:$F$1001,ROW())/INDEX($D$1:$D$1001,ROW()),0)</f>
        <v/>
      </c>
      <c r="H48" s="71"/>
    </row>
    <row r="49" spans="2:8">
      <c r="B49" s="56" t="s">
        <v>505</v>
      </c>
      <c r="C49" s="57" t="str">
        <f>IF($E$2="","",VLOOKUP($E$2,Sprachversionen!$B:$BN,31,FALSE))</f>
        <v/>
      </c>
      <c r="D49" s="58"/>
      <c r="E49" s="58"/>
      <c r="F49" s="58"/>
      <c r="G49" s="59"/>
      <c r="H49" s="60"/>
    </row>
    <row r="50" spans="2:8">
      <c r="B50" s="61" t="s">
        <v>506</v>
      </c>
      <c r="C50" s="62"/>
      <c r="D50" s="63"/>
      <c r="E50" s="64"/>
      <c r="F50" s="65"/>
      <c r="G50" s="66" t="str">
        <f>IFERROR(INDEX($F$1:$F$1001,ROW())/INDEX($D$1:$D$1001,ROW()),0)</f>
        <v/>
      </c>
      <c r="H50" s="67"/>
    </row>
    <row r="51" spans="2:8">
      <c r="B51" s="61" t="s">
        <v>507</v>
      </c>
      <c r="C51" s="62"/>
      <c r="D51" s="63"/>
      <c r="E51" s="64"/>
      <c r="F51" s="65"/>
      <c r="G51" s="66" t="str">
        <f>IFERROR(INDEX($F$1:$F$1001,ROW())/INDEX($D$1:$D$1001,ROW()),0)</f>
        <v/>
      </c>
      <c r="H51" s="67"/>
    </row>
    <row r="52" spans="2:8">
      <c r="B52" s="61" t="s">
        <v>508</v>
      </c>
      <c r="C52" s="62"/>
      <c r="D52" s="63"/>
      <c r="E52" s="64"/>
      <c r="F52" s="65"/>
      <c r="G52" s="66" t="str">
        <f>IFERROR(INDEX($F$1:$F$1001,ROW())/INDEX($D$1:$D$1001,ROW()),0)</f>
        <v/>
      </c>
      <c r="H52" s="67"/>
    </row>
    <row r="53" spans="2:8">
      <c r="B53" s="61" t="s">
        <v>509</v>
      </c>
      <c r="C53" s="62"/>
      <c r="D53" s="63"/>
      <c r="E53" s="64"/>
      <c r="F53" s="65"/>
      <c r="G53" s="66" t="str">
        <f>IFERROR(INDEX($F$1:$F$1001,ROW())/INDEX($D$1:$D$1001,ROW()),0)</f>
        <v/>
      </c>
      <c r="H53" s="67"/>
    </row>
    <row r="54" spans="2:8">
      <c r="B54" s="61" t="s">
        <v>510</v>
      </c>
      <c r="C54" s="62"/>
      <c r="D54" s="63"/>
      <c r="E54" s="64"/>
      <c r="F54" s="65"/>
      <c r="G54" s="66" t="str">
        <f>IFERROR(INDEX($F$1:$F$1001,ROW())/INDEX($D$1:$D$1001,ROW()),0)</f>
        <v/>
      </c>
      <c r="H54" s="67"/>
    </row>
    <row r="55" spans="2:8">
      <c r="B55" s="61" t="s">
        <v>511</v>
      </c>
      <c r="C55" s="62"/>
      <c r="D55" s="63"/>
      <c r="E55" s="64"/>
      <c r="F55" s="65"/>
      <c r="G55" s="66" t="str">
        <f>IFERROR(INDEX($F$1:$F$1001,ROW())/INDEX($D$1:$D$1001,ROW()),0)</f>
        <v/>
      </c>
      <c r="H55" s="67"/>
    </row>
    <row r="56" spans="2:8">
      <c r="B56" s="61" t="s">
        <v>512</v>
      </c>
      <c r="C56" s="62"/>
      <c r="D56" s="63"/>
      <c r="E56" s="64"/>
      <c r="F56" s="65"/>
      <c r="G56" s="66" t="str">
        <f>IFERROR(INDEX($F$1:$F$1001,ROW())/INDEX($D$1:$D$1001,ROW()),0)</f>
        <v/>
      </c>
      <c r="H56" s="67"/>
    </row>
    <row r="57" spans="2:8">
      <c r="B57" s="61" t="s">
        <v>513</v>
      </c>
      <c r="C57" s="62"/>
      <c r="D57" s="63"/>
      <c r="E57" s="64"/>
      <c r="F57" s="65"/>
      <c r="G57" s="66" t="str">
        <f>IFERROR(INDEX($F$1:$F$1001,ROW())/INDEX($D$1:$D$1001,ROW()),0)</f>
        <v/>
      </c>
      <c r="H57" s="67"/>
    </row>
    <row r="58" spans="2:8">
      <c r="B58" s="61" t="s">
        <v>514</v>
      </c>
      <c r="C58" s="62"/>
      <c r="D58" s="63"/>
      <c r="E58" s="64"/>
      <c r="F58" s="65"/>
      <c r="G58" s="66" t="str">
        <f>IFERROR(INDEX($F$1:$F$1001,ROW())/INDEX($D$1:$D$1001,ROW()),0)</f>
        <v/>
      </c>
      <c r="H58" s="67"/>
    </row>
    <row r="59" spans="2:8">
      <c r="B59" s="61" t="s">
        <v>515</v>
      </c>
      <c r="C59" s="62"/>
      <c r="D59" s="63"/>
      <c r="E59" s="64"/>
      <c r="F59" s="65"/>
      <c r="G59" s="66" t="str">
        <f>IFERROR(INDEX($F$1:$F$1001,ROW())/INDEX($D$1:$D$1001,ROW()),0)</f>
        <v/>
      </c>
      <c r="H59" s="67"/>
    </row>
    <row r="60" spans="2:8">
      <c r="B60" s="61" t="s">
        <v>516</v>
      </c>
      <c r="C60" s="62"/>
      <c r="D60" s="63"/>
      <c r="E60" s="64"/>
      <c r="F60" s="65"/>
      <c r="G60" s="66" t="str">
        <f>IFERROR(INDEX($F$1:$F$1001,ROW())/INDEX($D$1:$D$1001,ROW()),0)</f>
        <v/>
      </c>
      <c r="H60" s="67"/>
    </row>
    <row r="61" spans="2:8">
      <c r="B61" s="61" t="s">
        <v>517</v>
      </c>
      <c r="C61" s="62"/>
      <c r="D61" s="63"/>
      <c r="E61" s="64"/>
      <c r="F61" s="65"/>
      <c r="G61" s="66" t="str">
        <f>IFERROR(INDEX($F$1:$F$1001,ROW())/INDEX($D$1:$D$1001,ROW()),0)</f>
        <v/>
      </c>
      <c r="H61" s="67"/>
    </row>
    <row r="62" spans="2:8">
      <c r="B62" s="61" t="s">
        <v>518</v>
      </c>
      <c r="C62" s="62"/>
      <c r="D62" s="63"/>
      <c r="E62" s="64"/>
      <c r="F62" s="65"/>
      <c r="G62" s="66" t="str">
        <f>IFERROR(INDEX($F$1:$F$1001,ROW())/INDEX($D$1:$D$1001,ROW()),0)</f>
        <v/>
      </c>
      <c r="H62" s="67"/>
    </row>
    <row r="63" spans="2:8">
      <c r="B63" s="61" t="s">
        <v>519</v>
      </c>
      <c r="C63" s="62"/>
      <c r="D63" s="63"/>
      <c r="E63" s="64"/>
      <c r="F63" s="65"/>
      <c r="G63" s="66" t="str">
        <f>IFERROR(INDEX($F$1:$F$1001,ROW())/INDEX($D$1:$D$1001,ROW()),0)</f>
        <v/>
      </c>
      <c r="H63" s="67"/>
    </row>
    <row r="64" spans="2:8">
      <c r="B64" s="61" t="s">
        <v>520</v>
      </c>
      <c r="C64" s="62"/>
      <c r="D64" s="63"/>
      <c r="E64" s="64"/>
      <c r="F64" s="65"/>
      <c r="G64" s="66" t="str">
        <f>IFERROR(INDEX($F$1:$F$1001,ROW())/INDEX($D$1:$D$1001,ROW()),0)</f>
        <v/>
      </c>
      <c r="H64" s="67"/>
    </row>
    <row r="65" spans="2:8">
      <c r="B65" s="61" t="s">
        <v>521</v>
      </c>
      <c r="C65" s="62"/>
      <c r="D65" s="63"/>
      <c r="E65" s="64"/>
      <c r="F65" s="65"/>
      <c r="G65" s="66" t="str">
        <f>IFERROR(INDEX($F$1:$F$1001,ROW())/INDEX($D$1:$D$1001,ROW()),0)</f>
        <v/>
      </c>
      <c r="H65" s="67"/>
    </row>
    <row r="66" spans="2:8">
      <c r="B66" s="61" t="s">
        <v>522</v>
      </c>
      <c r="C66" s="62"/>
      <c r="D66" s="63"/>
      <c r="E66" s="64"/>
      <c r="F66" s="65"/>
      <c r="G66" s="66" t="str">
        <f>IFERROR(INDEX($F$1:$F$1001,ROW())/INDEX($D$1:$D$1001,ROW()),0)</f>
        <v/>
      </c>
      <c r="H66" s="67"/>
    </row>
    <row r="67" spans="2:8">
      <c r="B67" s="61" t="s">
        <v>523</v>
      </c>
      <c r="C67" s="62"/>
      <c r="D67" s="63"/>
      <c r="E67" s="64"/>
      <c r="F67" s="65"/>
      <c r="G67" s="66" t="str">
        <f>IFERROR(INDEX($F$1:$F$1001,ROW())/INDEX($D$1:$D$1001,ROW()),0)</f>
        <v/>
      </c>
      <c r="H67" s="67"/>
    </row>
    <row r="68" spans="2:8">
      <c r="B68" s="61" t="s">
        <v>524</v>
      </c>
      <c r="C68" s="62"/>
      <c r="D68" s="63"/>
      <c r="E68" s="64"/>
      <c r="F68" s="65"/>
      <c r="G68" s="66" t="str">
        <f>IFERROR(INDEX($F$1:$F$1001,ROW())/INDEX($D$1:$D$1001,ROW()),0)</f>
        <v/>
      </c>
      <c r="H68" s="67"/>
    </row>
    <row r="69" spans="2:8">
      <c r="B69" s="61" t="s">
        <v>525</v>
      </c>
      <c r="C69" s="62"/>
      <c r="D69" s="63"/>
      <c r="E69" s="64"/>
      <c r="F69" s="65"/>
      <c r="G69" s="66" t="str">
        <f>IFERROR(INDEX($F$1:$F$1001,ROW())/INDEX($D$1:$D$1001,ROW()),0)</f>
        <v/>
      </c>
      <c r="H69" s="67"/>
    </row>
    <row r="70" spans="2:8">
      <c r="B70" s="68" t="str">
        <f>IF($E$2="","",VLOOKUP($E$2,Sprachversionen!$B:$BN,32,FALSE))</f>
        <v/>
      </c>
      <c r="C70" s="69"/>
      <c r="D70" s="70" t="str">
        <f>SUMPRODUCT(ROUND(D50:D69,2))</f>
        <v/>
      </c>
      <c r="E70" s="70" t="str">
        <f>SUMPRODUCT(ROUND(E50:E69,2))</f>
        <v/>
      </c>
      <c r="F70" s="70" t="str">
        <f>SUMPRODUCT(ROUND(F50:F69,2))</f>
        <v/>
      </c>
      <c r="G70" s="66" t="str">
        <f>IFERROR(INDEX($F$1:$F$1001,ROW())/INDEX($D$1:$D$1001,ROW()),0)</f>
        <v/>
      </c>
      <c r="H70" s="71"/>
    </row>
    <row r="71" spans="2:8">
      <c r="B71" s="56" t="s">
        <v>526</v>
      </c>
      <c r="C71" s="57" t="str">
        <f>IF($E$2="","",VLOOKUP($E$2,Sprachversionen!$B:$BN,33,FALSE))</f>
        <v/>
      </c>
      <c r="D71" s="58"/>
      <c r="E71" s="58"/>
      <c r="F71" s="58"/>
      <c r="G71" s="59"/>
      <c r="H71" s="60"/>
    </row>
    <row r="72" spans="2:8">
      <c r="B72" s="61" t="s">
        <v>527</v>
      </c>
      <c r="C72" s="62"/>
      <c r="D72" s="63"/>
      <c r="E72" s="64"/>
      <c r="F72" s="65"/>
      <c r="G72" s="66" t="str">
        <f>IFERROR(INDEX($F$1:$F$1001,ROW())/INDEX($D$1:$D$1001,ROW()),0)</f>
        <v/>
      </c>
      <c r="H72" s="67"/>
    </row>
    <row r="73" spans="2:8">
      <c r="B73" s="61" t="s">
        <v>528</v>
      </c>
      <c r="C73" s="62"/>
      <c r="D73" s="63"/>
      <c r="E73" s="64"/>
      <c r="F73" s="65"/>
      <c r="G73" s="66" t="str">
        <f>IFERROR(INDEX($F$1:$F$1001,ROW())/INDEX($D$1:$D$1001,ROW()),0)</f>
        <v/>
      </c>
      <c r="H73" s="67"/>
    </row>
    <row r="74" spans="2:8">
      <c r="B74" s="61" t="s">
        <v>529</v>
      </c>
      <c r="C74" s="62"/>
      <c r="D74" s="63"/>
      <c r="E74" s="64"/>
      <c r="F74" s="65"/>
      <c r="G74" s="66" t="str">
        <f>IFERROR(INDEX($F$1:$F$1001,ROW())/INDEX($D$1:$D$1001,ROW()),0)</f>
        <v/>
      </c>
      <c r="H74" s="67"/>
    </row>
    <row r="75" spans="2:8">
      <c r="B75" s="61" t="s">
        <v>530</v>
      </c>
      <c r="C75" s="62"/>
      <c r="D75" s="63"/>
      <c r="E75" s="64"/>
      <c r="F75" s="65"/>
      <c r="G75" s="66" t="str">
        <f>IFERROR(INDEX($F$1:$F$1001,ROW())/INDEX($D$1:$D$1001,ROW()),0)</f>
        <v/>
      </c>
      <c r="H75" s="67"/>
    </row>
    <row r="76" spans="2:8">
      <c r="B76" s="61" t="s">
        <v>531</v>
      </c>
      <c r="C76" s="62"/>
      <c r="D76" s="63"/>
      <c r="E76" s="64"/>
      <c r="F76" s="65"/>
      <c r="G76" s="66" t="str">
        <f>IFERROR(INDEX($F$1:$F$1001,ROW())/INDEX($D$1:$D$1001,ROW()),0)</f>
        <v/>
      </c>
      <c r="H76" s="67"/>
    </row>
    <row r="77" spans="2:8">
      <c r="B77" s="61" t="s">
        <v>532</v>
      </c>
      <c r="C77" s="62"/>
      <c r="D77" s="63"/>
      <c r="E77" s="64"/>
      <c r="F77" s="65"/>
      <c r="G77" s="66" t="str">
        <f>IFERROR(INDEX($F$1:$F$1001,ROW())/INDEX($D$1:$D$1001,ROW()),0)</f>
        <v/>
      </c>
      <c r="H77" s="67"/>
    </row>
    <row r="78" spans="2:8">
      <c r="B78" s="61" t="s">
        <v>533</v>
      </c>
      <c r="C78" s="62"/>
      <c r="D78" s="63"/>
      <c r="E78" s="64"/>
      <c r="F78" s="65"/>
      <c r="G78" s="66" t="str">
        <f>IFERROR(INDEX($F$1:$F$1001,ROW())/INDEX($D$1:$D$1001,ROW()),0)</f>
        <v/>
      </c>
      <c r="H78" s="67"/>
    </row>
    <row r="79" spans="2:8">
      <c r="B79" s="61" t="s">
        <v>534</v>
      </c>
      <c r="C79" s="62"/>
      <c r="D79" s="63"/>
      <c r="E79" s="64"/>
      <c r="F79" s="65"/>
      <c r="G79" s="66" t="str">
        <f>IFERROR(INDEX($F$1:$F$1001,ROW())/INDEX($D$1:$D$1001,ROW()),0)</f>
        <v/>
      </c>
      <c r="H79" s="67"/>
    </row>
    <row r="80" spans="2:8">
      <c r="B80" s="61" t="s">
        <v>535</v>
      </c>
      <c r="C80" s="62"/>
      <c r="D80" s="63"/>
      <c r="E80" s="64"/>
      <c r="F80" s="65"/>
      <c r="G80" s="66" t="str">
        <f>IFERROR(INDEX($F$1:$F$1001,ROW())/INDEX($D$1:$D$1001,ROW()),0)</f>
        <v/>
      </c>
      <c r="H80" s="67"/>
    </row>
    <row r="81" spans="2:8">
      <c r="B81" s="61" t="s">
        <v>536</v>
      </c>
      <c r="C81" s="62"/>
      <c r="D81" s="63"/>
      <c r="E81" s="64"/>
      <c r="F81" s="65"/>
      <c r="G81" s="66" t="str">
        <f>IFERROR(INDEX($F$1:$F$1001,ROW())/INDEX($D$1:$D$1001,ROW()),0)</f>
        <v/>
      </c>
      <c r="H81" s="67"/>
    </row>
    <row r="82" spans="2:8">
      <c r="B82" s="61" t="s">
        <v>537</v>
      </c>
      <c r="C82" s="62"/>
      <c r="D82" s="63"/>
      <c r="E82" s="64"/>
      <c r="F82" s="65"/>
      <c r="G82" s="66" t="str">
        <f>IFERROR(INDEX($F$1:$F$1001,ROW())/INDEX($D$1:$D$1001,ROW()),0)</f>
        <v/>
      </c>
      <c r="H82" s="67"/>
    </row>
    <row r="83" spans="2:8">
      <c r="B83" s="61" t="s">
        <v>538</v>
      </c>
      <c r="C83" s="62"/>
      <c r="D83" s="63"/>
      <c r="E83" s="64"/>
      <c r="F83" s="65"/>
      <c r="G83" s="66" t="str">
        <f>IFERROR(INDEX($F$1:$F$1001,ROW())/INDEX($D$1:$D$1001,ROW()),0)</f>
        <v/>
      </c>
      <c r="H83" s="67"/>
    </row>
    <row r="84" spans="2:8">
      <c r="B84" s="61" t="s">
        <v>539</v>
      </c>
      <c r="C84" s="62"/>
      <c r="D84" s="63"/>
      <c r="E84" s="64"/>
      <c r="F84" s="65"/>
      <c r="G84" s="66" t="str">
        <f>IFERROR(INDEX($F$1:$F$1001,ROW())/INDEX($D$1:$D$1001,ROW()),0)</f>
        <v/>
      </c>
      <c r="H84" s="67"/>
    </row>
    <row r="85" spans="2:8">
      <c r="B85" s="61" t="s">
        <v>540</v>
      </c>
      <c r="C85" s="62"/>
      <c r="D85" s="63"/>
      <c r="E85" s="64"/>
      <c r="F85" s="65"/>
      <c r="G85" s="66" t="str">
        <f>IFERROR(INDEX($F$1:$F$1001,ROW())/INDEX($D$1:$D$1001,ROW()),0)</f>
        <v/>
      </c>
      <c r="H85" s="67"/>
    </row>
    <row r="86" spans="2:8">
      <c r="B86" s="61" t="s">
        <v>541</v>
      </c>
      <c r="C86" s="62"/>
      <c r="D86" s="63"/>
      <c r="E86" s="64"/>
      <c r="F86" s="65"/>
      <c r="G86" s="66" t="str">
        <f>IFERROR(INDEX($F$1:$F$1001,ROW())/INDEX($D$1:$D$1001,ROW()),0)</f>
        <v/>
      </c>
      <c r="H86" s="67"/>
    </row>
    <row r="87" spans="2:8">
      <c r="B87" s="61" t="s">
        <v>542</v>
      </c>
      <c r="C87" s="62"/>
      <c r="D87" s="63"/>
      <c r="E87" s="64"/>
      <c r="F87" s="65"/>
      <c r="G87" s="66" t="str">
        <f>IFERROR(INDEX($F$1:$F$1001,ROW())/INDEX($D$1:$D$1001,ROW()),0)</f>
        <v/>
      </c>
      <c r="H87" s="67"/>
    </row>
    <row r="88" spans="2:8">
      <c r="B88" s="61" t="s">
        <v>543</v>
      </c>
      <c r="C88" s="62"/>
      <c r="D88" s="63"/>
      <c r="E88" s="64"/>
      <c r="F88" s="65"/>
      <c r="G88" s="66" t="str">
        <f>IFERROR(INDEX($F$1:$F$1001,ROW())/INDEX($D$1:$D$1001,ROW()),0)</f>
        <v/>
      </c>
      <c r="H88" s="67"/>
    </row>
    <row r="89" spans="2:8">
      <c r="B89" s="61" t="s">
        <v>544</v>
      </c>
      <c r="C89" s="62"/>
      <c r="D89" s="63"/>
      <c r="E89" s="64"/>
      <c r="F89" s="65"/>
      <c r="G89" s="66" t="str">
        <f>IFERROR(INDEX($F$1:$F$1001,ROW())/INDEX($D$1:$D$1001,ROW()),0)</f>
        <v/>
      </c>
      <c r="H89" s="67"/>
    </row>
    <row r="90" spans="2:8">
      <c r="B90" s="61" t="s">
        <v>545</v>
      </c>
      <c r="C90" s="62"/>
      <c r="D90" s="63"/>
      <c r="E90" s="64"/>
      <c r="F90" s="65"/>
      <c r="G90" s="66" t="str">
        <f>IFERROR(INDEX($F$1:$F$1001,ROW())/INDEX($D$1:$D$1001,ROW()),0)</f>
        <v/>
      </c>
      <c r="H90" s="67"/>
    </row>
    <row r="91" spans="2:8">
      <c r="B91" s="61" t="s">
        <v>546</v>
      </c>
      <c r="C91" s="62"/>
      <c r="D91" s="63"/>
      <c r="E91" s="64"/>
      <c r="F91" s="65"/>
      <c r="G91" s="66" t="str">
        <f>IFERROR(INDEX($F$1:$F$1001,ROW())/INDEX($D$1:$D$1001,ROW()),0)</f>
        <v/>
      </c>
      <c r="H91" s="67"/>
    </row>
    <row r="92" spans="2:8">
      <c r="B92" s="61" t="s">
        <v>547</v>
      </c>
      <c r="C92" s="62"/>
      <c r="D92" s="63"/>
      <c r="E92" s="64"/>
      <c r="F92" s="65"/>
      <c r="G92" s="66" t="str">
        <f>IFERROR(INDEX($F$1:$F$1001,ROW())/INDEX($D$1:$D$1001,ROW()),0)</f>
        <v/>
      </c>
      <c r="H92" s="67"/>
    </row>
    <row r="93" spans="2:8">
      <c r="B93" s="61" t="s">
        <v>548</v>
      </c>
      <c r="C93" s="62"/>
      <c r="D93" s="63"/>
      <c r="E93" s="64"/>
      <c r="F93" s="65"/>
      <c r="G93" s="66" t="str">
        <f>IFERROR(INDEX($F$1:$F$1001,ROW())/INDEX($D$1:$D$1001,ROW()),0)</f>
        <v/>
      </c>
      <c r="H93" s="67"/>
    </row>
    <row r="94" spans="2:8">
      <c r="B94" s="61" t="s">
        <v>549</v>
      </c>
      <c r="C94" s="62"/>
      <c r="D94" s="63"/>
      <c r="E94" s="64"/>
      <c r="F94" s="65"/>
      <c r="G94" s="66" t="str">
        <f>IFERROR(INDEX($F$1:$F$1001,ROW())/INDEX($D$1:$D$1001,ROW()),0)</f>
        <v/>
      </c>
      <c r="H94" s="67"/>
    </row>
    <row r="95" spans="2:8">
      <c r="B95" s="61" t="s">
        <v>550</v>
      </c>
      <c r="C95" s="62"/>
      <c r="D95" s="63"/>
      <c r="E95" s="64"/>
      <c r="F95" s="65"/>
      <c r="G95" s="66" t="str">
        <f>IFERROR(INDEX($F$1:$F$1001,ROW())/INDEX($D$1:$D$1001,ROW()),0)</f>
        <v/>
      </c>
      <c r="H95" s="67"/>
    </row>
    <row r="96" spans="2:8">
      <c r="B96" s="61" t="s">
        <v>551</v>
      </c>
      <c r="C96" s="62"/>
      <c r="D96" s="63"/>
      <c r="E96" s="64"/>
      <c r="F96" s="65"/>
      <c r="G96" s="66" t="str">
        <f>IFERROR(INDEX($F$1:$F$1001,ROW())/INDEX($D$1:$D$1001,ROW()),0)</f>
        <v/>
      </c>
      <c r="H96" s="67"/>
    </row>
    <row r="97" spans="2:8">
      <c r="B97" s="61" t="s">
        <v>552</v>
      </c>
      <c r="C97" s="62"/>
      <c r="D97" s="63"/>
      <c r="E97" s="64"/>
      <c r="F97" s="65"/>
      <c r="G97" s="66" t="str">
        <f>IFERROR(INDEX($F$1:$F$1001,ROW())/INDEX($D$1:$D$1001,ROW()),0)</f>
        <v/>
      </c>
      <c r="H97" s="67"/>
    </row>
    <row r="98" spans="2:8">
      <c r="B98" s="61" t="s">
        <v>553</v>
      </c>
      <c r="C98" s="62"/>
      <c r="D98" s="63"/>
      <c r="E98" s="64"/>
      <c r="F98" s="65"/>
      <c r="G98" s="66" t="str">
        <f>IFERROR(INDEX($F$1:$F$1001,ROW())/INDEX($D$1:$D$1001,ROW()),0)</f>
        <v/>
      </c>
      <c r="H98" s="67"/>
    </row>
    <row r="99" spans="2:8">
      <c r="B99" s="61" t="s">
        <v>554</v>
      </c>
      <c r="C99" s="62"/>
      <c r="D99" s="63"/>
      <c r="E99" s="64"/>
      <c r="F99" s="65"/>
      <c r="G99" s="66" t="str">
        <f>IFERROR(INDEX($F$1:$F$1001,ROW())/INDEX($D$1:$D$1001,ROW()),0)</f>
        <v/>
      </c>
      <c r="H99" s="67"/>
    </row>
    <row r="100" spans="2:8">
      <c r="B100" s="61" t="s">
        <v>555</v>
      </c>
      <c r="C100" s="62"/>
      <c r="D100" s="63"/>
      <c r="E100" s="64"/>
      <c r="F100" s="65"/>
      <c r="G100" s="66" t="str">
        <f>IFERROR(INDEX($F$1:$F$1001,ROW())/INDEX($D$1:$D$1001,ROW()),0)</f>
        <v/>
      </c>
      <c r="H100" s="67"/>
    </row>
    <row r="101" spans="2:8">
      <c r="B101" s="61" t="s">
        <v>556</v>
      </c>
      <c r="C101" s="62"/>
      <c r="D101" s="63"/>
      <c r="E101" s="64"/>
      <c r="F101" s="65"/>
      <c r="G101" s="66" t="str">
        <f>IFERROR(INDEX($F$1:$F$1001,ROW())/INDEX($D$1:$D$1001,ROW()),0)</f>
        <v/>
      </c>
      <c r="H101" s="67"/>
    </row>
    <row r="102" spans="2:8">
      <c r="B102" s="68" t="str">
        <f>IF($E$2="","",VLOOKUP($E$2,Sprachversionen!$B:$BN,34,FALSE))</f>
        <v/>
      </c>
      <c r="C102" s="69"/>
      <c r="D102" s="70" t="str">
        <f>SUMPRODUCT(ROUND(D72:D101,2))</f>
        <v/>
      </c>
      <c r="E102" s="70" t="str">
        <f>SUMPRODUCT(ROUND(E72:E101,2))</f>
        <v/>
      </c>
      <c r="F102" s="70" t="str">
        <f>SUMPRODUCT(ROUND(F72:F101,2))</f>
        <v/>
      </c>
      <c r="G102" s="66" t="str">
        <f>IFERROR(INDEX($F$1:$F$1001,ROW())/INDEX($D$1:$D$1001,ROW()),0)</f>
        <v/>
      </c>
      <c r="H102" s="71"/>
    </row>
    <row r="103" spans="2:8">
      <c r="B103" s="56" t="s">
        <v>557</v>
      </c>
      <c r="C103" s="57" t="str">
        <f>IF($E$2="","",VLOOKUP($E$2,Sprachversionen!$B:$BN,35,FALSE))</f>
        <v/>
      </c>
      <c r="D103" s="58"/>
      <c r="E103" s="58"/>
      <c r="F103" s="58"/>
      <c r="G103" s="59"/>
      <c r="H103" s="60"/>
    </row>
    <row r="104" spans="2:8">
      <c r="B104" s="61" t="s">
        <v>558</v>
      </c>
      <c r="C104" s="62"/>
      <c r="D104" s="63"/>
      <c r="E104" s="64"/>
      <c r="F104" s="65"/>
      <c r="G104" s="66" t="str">
        <f>IFERROR(INDEX($F$1:$F$1001,ROW())/INDEX($D$1:$D$1001,ROW()),0)</f>
        <v/>
      </c>
      <c r="H104" s="67"/>
    </row>
    <row r="105" spans="2:8">
      <c r="B105" s="61" t="s">
        <v>559</v>
      </c>
      <c r="C105" s="62"/>
      <c r="D105" s="63"/>
      <c r="E105" s="64"/>
      <c r="F105" s="65"/>
      <c r="G105" s="66" t="str">
        <f>IFERROR(INDEX($F$1:$F$1001,ROW())/INDEX($D$1:$D$1001,ROW()),0)</f>
        <v/>
      </c>
      <c r="H105" s="67"/>
    </row>
    <row r="106" spans="2:8">
      <c r="B106" s="61" t="s">
        <v>560</v>
      </c>
      <c r="C106" s="62"/>
      <c r="D106" s="63"/>
      <c r="E106" s="64"/>
      <c r="F106" s="65"/>
      <c r="G106" s="66" t="str">
        <f>IFERROR(INDEX($F$1:$F$1001,ROW())/INDEX($D$1:$D$1001,ROW()),0)</f>
        <v/>
      </c>
      <c r="H106" s="67"/>
    </row>
    <row r="107" spans="2:8">
      <c r="B107" s="61" t="s">
        <v>561</v>
      </c>
      <c r="C107" s="62"/>
      <c r="D107" s="63"/>
      <c r="E107" s="64"/>
      <c r="F107" s="65"/>
      <c r="G107" s="66" t="str">
        <f>IFERROR(INDEX($F$1:$F$1001,ROW())/INDEX($D$1:$D$1001,ROW()),0)</f>
        <v/>
      </c>
      <c r="H107" s="67"/>
    </row>
    <row r="108" spans="2:8">
      <c r="B108" s="61" t="s">
        <v>562</v>
      </c>
      <c r="C108" s="62"/>
      <c r="D108" s="63"/>
      <c r="E108" s="64"/>
      <c r="F108" s="65"/>
      <c r="G108" s="66" t="str">
        <f>IFERROR(INDEX($F$1:$F$1001,ROW())/INDEX($D$1:$D$1001,ROW()),0)</f>
        <v/>
      </c>
      <c r="H108" s="67"/>
    </row>
    <row r="109" spans="2:8">
      <c r="B109" s="61" t="s">
        <v>563</v>
      </c>
      <c r="C109" s="62"/>
      <c r="D109" s="63"/>
      <c r="E109" s="64"/>
      <c r="F109" s="65"/>
      <c r="G109" s="66" t="str">
        <f>IFERROR(INDEX($F$1:$F$1001,ROW())/INDEX($D$1:$D$1001,ROW()),0)</f>
        <v/>
      </c>
      <c r="H109" s="67"/>
    </row>
    <row r="110" spans="2:8">
      <c r="B110" s="61" t="s">
        <v>564</v>
      </c>
      <c r="C110" s="62"/>
      <c r="D110" s="63"/>
      <c r="E110" s="64"/>
      <c r="F110" s="65"/>
      <c r="G110" s="66" t="str">
        <f>IFERROR(INDEX($F$1:$F$1001,ROW())/INDEX($D$1:$D$1001,ROW()),0)</f>
        <v/>
      </c>
      <c r="H110" s="67"/>
    </row>
    <row r="111" spans="2:8">
      <c r="B111" s="61" t="s">
        <v>565</v>
      </c>
      <c r="C111" s="62"/>
      <c r="D111" s="63"/>
      <c r="E111" s="64"/>
      <c r="F111" s="65"/>
      <c r="G111" s="66" t="str">
        <f>IFERROR(INDEX($F$1:$F$1001,ROW())/INDEX($D$1:$D$1001,ROW()),0)</f>
        <v/>
      </c>
      <c r="H111" s="67"/>
    </row>
    <row r="112" spans="2:8">
      <c r="B112" s="61" t="s">
        <v>566</v>
      </c>
      <c r="C112" s="62"/>
      <c r="D112" s="63"/>
      <c r="E112" s="64"/>
      <c r="F112" s="65"/>
      <c r="G112" s="66" t="str">
        <f>IFERROR(INDEX($F$1:$F$1001,ROW())/INDEX($D$1:$D$1001,ROW()),0)</f>
        <v/>
      </c>
      <c r="H112" s="67"/>
    </row>
    <row r="113" spans="2:8">
      <c r="B113" s="61" t="s">
        <v>567</v>
      </c>
      <c r="C113" s="62"/>
      <c r="D113" s="63"/>
      <c r="E113" s="64"/>
      <c r="F113" s="65"/>
      <c r="G113" s="66" t="str">
        <f>IFERROR(INDEX($F$1:$F$1001,ROW())/INDEX($D$1:$D$1001,ROW()),0)</f>
        <v/>
      </c>
      <c r="H113" s="67"/>
    </row>
    <row r="114" spans="2:8">
      <c r="B114" s="61" t="s">
        <v>568</v>
      </c>
      <c r="C114" s="62"/>
      <c r="D114" s="63"/>
      <c r="E114" s="64"/>
      <c r="F114" s="65"/>
      <c r="G114" s="66" t="str">
        <f>IFERROR(INDEX($F$1:$F$1001,ROW())/INDEX($D$1:$D$1001,ROW()),0)</f>
        <v/>
      </c>
      <c r="H114" s="67"/>
    </row>
    <row r="115" spans="2:8">
      <c r="B115" s="61" t="s">
        <v>569</v>
      </c>
      <c r="C115" s="62"/>
      <c r="D115" s="63"/>
      <c r="E115" s="64"/>
      <c r="F115" s="65"/>
      <c r="G115" s="66" t="str">
        <f>IFERROR(INDEX($F$1:$F$1001,ROW())/INDEX($D$1:$D$1001,ROW()),0)</f>
        <v/>
      </c>
      <c r="H115" s="67"/>
    </row>
    <row r="116" spans="2:8">
      <c r="B116" s="61" t="s">
        <v>570</v>
      </c>
      <c r="C116" s="62"/>
      <c r="D116" s="63"/>
      <c r="E116" s="64"/>
      <c r="F116" s="65"/>
      <c r="G116" s="66" t="str">
        <f>IFERROR(INDEX($F$1:$F$1001,ROW())/INDEX($D$1:$D$1001,ROW()),0)</f>
        <v/>
      </c>
      <c r="H116" s="67"/>
    </row>
    <row r="117" spans="2:8">
      <c r="B117" s="61" t="s">
        <v>571</v>
      </c>
      <c r="C117" s="62"/>
      <c r="D117" s="63"/>
      <c r="E117" s="64"/>
      <c r="F117" s="65"/>
      <c r="G117" s="66" t="str">
        <f>IFERROR(INDEX($F$1:$F$1001,ROW())/INDEX($D$1:$D$1001,ROW()),0)</f>
        <v/>
      </c>
      <c r="H117" s="67"/>
    </row>
    <row r="118" spans="2:8">
      <c r="B118" s="61" t="s">
        <v>572</v>
      </c>
      <c r="C118" s="62"/>
      <c r="D118" s="63"/>
      <c r="E118" s="64"/>
      <c r="F118" s="65"/>
      <c r="G118" s="66" t="str">
        <f>IFERROR(INDEX($F$1:$F$1001,ROW())/INDEX($D$1:$D$1001,ROW()),0)</f>
        <v/>
      </c>
      <c r="H118" s="67"/>
    </row>
    <row r="119" spans="2:8">
      <c r="B119" s="61" t="s">
        <v>573</v>
      </c>
      <c r="C119" s="62"/>
      <c r="D119" s="63"/>
      <c r="E119" s="64"/>
      <c r="F119" s="65"/>
      <c r="G119" s="66" t="str">
        <f>IFERROR(INDEX($F$1:$F$1001,ROW())/INDEX($D$1:$D$1001,ROW()),0)</f>
        <v/>
      </c>
      <c r="H119" s="67"/>
    </row>
    <row r="120" spans="2:8">
      <c r="B120" s="61" t="s">
        <v>574</v>
      </c>
      <c r="C120" s="62"/>
      <c r="D120" s="63"/>
      <c r="E120" s="64"/>
      <c r="F120" s="65"/>
      <c r="G120" s="66" t="str">
        <f>IFERROR(INDEX($F$1:$F$1001,ROW())/INDEX($D$1:$D$1001,ROW()),0)</f>
        <v/>
      </c>
      <c r="H120" s="67"/>
    </row>
    <row r="121" spans="2:8">
      <c r="B121" s="61" t="s">
        <v>575</v>
      </c>
      <c r="C121" s="62"/>
      <c r="D121" s="63"/>
      <c r="E121" s="64"/>
      <c r="F121" s="65"/>
      <c r="G121" s="66" t="str">
        <f>IFERROR(INDEX($F$1:$F$1001,ROW())/INDEX($D$1:$D$1001,ROW()),0)</f>
        <v/>
      </c>
      <c r="H121" s="67"/>
    </row>
    <row r="122" spans="2:8">
      <c r="B122" s="61" t="s">
        <v>576</v>
      </c>
      <c r="C122" s="62"/>
      <c r="D122" s="63"/>
      <c r="E122" s="64"/>
      <c r="F122" s="65"/>
      <c r="G122" s="66" t="str">
        <f>IFERROR(INDEX($F$1:$F$1001,ROW())/INDEX($D$1:$D$1001,ROW()),0)</f>
        <v/>
      </c>
      <c r="H122" s="67"/>
    </row>
    <row r="123" spans="2:8">
      <c r="B123" s="61" t="s">
        <v>577</v>
      </c>
      <c r="C123" s="62"/>
      <c r="D123" s="63"/>
      <c r="E123" s="64"/>
      <c r="F123" s="65"/>
      <c r="G123" s="66" t="str">
        <f>IFERROR(INDEX($F$1:$F$1001,ROW())/INDEX($D$1:$D$1001,ROW()),0)</f>
        <v/>
      </c>
      <c r="H123" s="67"/>
    </row>
    <row r="124" spans="2:8">
      <c r="B124" s="61" t="s">
        <v>578</v>
      </c>
      <c r="C124" s="62"/>
      <c r="D124" s="63"/>
      <c r="E124" s="64"/>
      <c r="F124" s="65"/>
      <c r="G124" s="66" t="str">
        <f>IFERROR(INDEX($F$1:$F$1001,ROW())/INDEX($D$1:$D$1001,ROW()),0)</f>
        <v/>
      </c>
      <c r="H124" s="67"/>
    </row>
    <row r="125" spans="2:8">
      <c r="B125" s="61" t="s">
        <v>579</v>
      </c>
      <c r="C125" s="62"/>
      <c r="D125" s="63"/>
      <c r="E125" s="64"/>
      <c r="F125" s="65"/>
      <c r="G125" s="66" t="str">
        <f>IFERROR(INDEX($F$1:$F$1001,ROW())/INDEX($D$1:$D$1001,ROW()),0)</f>
        <v/>
      </c>
      <c r="H125" s="67"/>
    </row>
    <row r="126" spans="2:8">
      <c r="B126" s="61" t="s">
        <v>580</v>
      </c>
      <c r="C126" s="62"/>
      <c r="D126" s="63"/>
      <c r="E126" s="64"/>
      <c r="F126" s="65"/>
      <c r="G126" s="66" t="str">
        <f>IFERROR(INDEX($F$1:$F$1001,ROW())/INDEX($D$1:$D$1001,ROW()),0)</f>
        <v/>
      </c>
      <c r="H126" s="67"/>
    </row>
    <row r="127" spans="2:8">
      <c r="B127" s="61" t="s">
        <v>581</v>
      </c>
      <c r="C127" s="62"/>
      <c r="D127" s="63"/>
      <c r="E127" s="64"/>
      <c r="F127" s="65"/>
      <c r="G127" s="66" t="str">
        <f>IFERROR(INDEX($F$1:$F$1001,ROW())/INDEX($D$1:$D$1001,ROW()),0)</f>
        <v/>
      </c>
      <c r="H127" s="67"/>
    </row>
    <row r="128" spans="2:8">
      <c r="B128" s="61" t="s">
        <v>582</v>
      </c>
      <c r="C128" s="62"/>
      <c r="D128" s="63"/>
      <c r="E128" s="64"/>
      <c r="F128" s="65"/>
      <c r="G128" s="66" t="str">
        <f>IFERROR(INDEX($F$1:$F$1001,ROW())/INDEX($D$1:$D$1001,ROW()),0)</f>
        <v/>
      </c>
      <c r="H128" s="67"/>
    </row>
    <row r="129" spans="2:8">
      <c r="B129" s="61" t="s">
        <v>583</v>
      </c>
      <c r="C129" s="62"/>
      <c r="D129" s="63"/>
      <c r="E129" s="64"/>
      <c r="F129" s="65"/>
      <c r="G129" s="66" t="str">
        <f>IFERROR(INDEX($F$1:$F$1001,ROW())/INDEX($D$1:$D$1001,ROW()),0)</f>
        <v/>
      </c>
      <c r="H129" s="67"/>
    </row>
    <row r="130" spans="2:8">
      <c r="B130" s="61" t="s">
        <v>584</v>
      </c>
      <c r="C130" s="62"/>
      <c r="D130" s="63"/>
      <c r="E130" s="64"/>
      <c r="F130" s="65"/>
      <c r="G130" s="66" t="str">
        <f>IFERROR(INDEX($F$1:$F$1001,ROW())/INDEX($D$1:$D$1001,ROW()),0)</f>
        <v/>
      </c>
      <c r="H130" s="67"/>
    </row>
    <row r="131" spans="2:8">
      <c r="B131" s="61" t="s">
        <v>585</v>
      </c>
      <c r="C131" s="62"/>
      <c r="D131" s="63"/>
      <c r="E131" s="64"/>
      <c r="F131" s="65"/>
      <c r="G131" s="66" t="str">
        <f>IFERROR(INDEX($F$1:$F$1001,ROW())/INDEX($D$1:$D$1001,ROW()),0)</f>
        <v/>
      </c>
      <c r="H131" s="67"/>
    </row>
    <row r="132" spans="2:8">
      <c r="B132" s="61" t="s">
        <v>586</v>
      </c>
      <c r="C132" s="62"/>
      <c r="D132" s="63"/>
      <c r="E132" s="64"/>
      <c r="F132" s="65"/>
      <c r="G132" s="66" t="str">
        <f>IFERROR(INDEX($F$1:$F$1001,ROW())/INDEX($D$1:$D$1001,ROW()),0)</f>
        <v/>
      </c>
      <c r="H132" s="67"/>
    </row>
    <row r="133" spans="2:8">
      <c r="B133" s="61" t="s">
        <v>587</v>
      </c>
      <c r="C133" s="62"/>
      <c r="D133" s="63"/>
      <c r="E133" s="64"/>
      <c r="F133" s="65"/>
      <c r="G133" s="66" t="str">
        <f>IFERROR(INDEX($F$1:$F$1001,ROW())/INDEX($D$1:$D$1001,ROW()),0)</f>
        <v/>
      </c>
      <c r="H133" s="67"/>
    </row>
    <row r="134" spans="2:8">
      <c r="B134" s="68" t="str">
        <f>IF($E$2="","",VLOOKUP($E$2,Sprachversionen!$B:$BN,36,FALSE))</f>
        <v/>
      </c>
      <c r="C134" s="69"/>
      <c r="D134" s="70" t="str">
        <f>SUMPRODUCT(ROUND(D104:D133,2))</f>
        <v/>
      </c>
      <c r="E134" s="70" t="str">
        <f>SUMPRODUCT(ROUND(E104:E133,2))</f>
        <v/>
      </c>
      <c r="F134" s="70" t="str">
        <f>SUMPRODUCT(ROUND(F104:F133,2))</f>
        <v/>
      </c>
      <c r="G134" s="66" t="str">
        <f>IFERROR(INDEX($F$1:$F$1001,ROW())/INDEX($D$1:$D$1001,ROW()),0)</f>
        <v/>
      </c>
      <c r="H134" s="71"/>
    </row>
    <row r="135" spans="2:8">
      <c r="B135" s="56" t="s">
        <v>588</v>
      </c>
      <c r="C135" s="57" t="str">
        <f>IF($E$2="","",VLOOKUP($E$2,Sprachversionen!$B:$BN,37,FALSE))</f>
        <v/>
      </c>
      <c r="D135" s="58"/>
      <c r="E135" s="58"/>
      <c r="F135" s="58"/>
      <c r="G135" s="59"/>
      <c r="H135" s="60"/>
    </row>
    <row r="136" spans="2:8">
      <c r="B136" s="61" t="s">
        <v>589</v>
      </c>
      <c r="C136" s="62"/>
      <c r="D136" s="63"/>
      <c r="E136" s="64"/>
      <c r="F136" s="65"/>
      <c r="G136" s="66" t="str">
        <f>IFERROR(INDEX($F$1:$F$1001,ROW())/INDEX($D$1:$D$1001,ROW()),0)</f>
        <v/>
      </c>
      <c r="H136" s="67"/>
    </row>
    <row r="137" spans="2:8">
      <c r="B137" s="61" t="s">
        <v>590</v>
      </c>
      <c r="C137" s="62"/>
      <c r="D137" s="63"/>
      <c r="E137" s="64"/>
      <c r="F137" s="65"/>
      <c r="G137" s="66" t="str">
        <f>IFERROR(INDEX($F$1:$F$1001,ROW())/INDEX($D$1:$D$1001,ROW()),0)</f>
        <v/>
      </c>
      <c r="H137" s="67"/>
    </row>
    <row r="138" spans="2:8">
      <c r="B138" s="61" t="s">
        <v>591</v>
      </c>
      <c r="C138" s="62"/>
      <c r="D138" s="63"/>
      <c r="E138" s="64"/>
      <c r="F138" s="65"/>
      <c r="G138" s="66" t="str">
        <f>IFERROR(INDEX($F$1:$F$1001,ROW())/INDEX($D$1:$D$1001,ROW()),0)</f>
        <v/>
      </c>
      <c r="H138" s="67"/>
    </row>
    <row r="139" spans="2:8">
      <c r="B139" s="61" t="s">
        <v>592</v>
      </c>
      <c r="C139" s="62"/>
      <c r="D139" s="63"/>
      <c r="E139" s="64"/>
      <c r="F139" s="65"/>
      <c r="G139" s="66" t="str">
        <f>IFERROR(INDEX($F$1:$F$1001,ROW())/INDEX($D$1:$D$1001,ROW()),0)</f>
        <v/>
      </c>
      <c r="H139" s="67"/>
    </row>
    <row r="140" spans="2:8">
      <c r="B140" s="61" t="s">
        <v>593</v>
      </c>
      <c r="C140" s="62"/>
      <c r="D140" s="63"/>
      <c r="E140" s="64"/>
      <c r="F140" s="65"/>
      <c r="G140" s="66" t="str">
        <f>IFERROR(INDEX($F$1:$F$1001,ROW())/INDEX($D$1:$D$1001,ROW()),0)</f>
        <v/>
      </c>
      <c r="H140" s="67"/>
    </row>
    <row r="141" spans="2:8">
      <c r="B141" s="61" t="s">
        <v>594</v>
      </c>
      <c r="C141" s="62"/>
      <c r="D141" s="63"/>
      <c r="E141" s="64"/>
      <c r="F141" s="65"/>
      <c r="G141" s="66" t="str">
        <f>IFERROR(INDEX($F$1:$F$1001,ROW())/INDEX($D$1:$D$1001,ROW()),0)</f>
        <v/>
      </c>
      <c r="H141" s="67"/>
    </row>
    <row r="142" spans="2:8">
      <c r="B142" s="61" t="s">
        <v>595</v>
      </c>
      <c r="C142" s="62"/>
      <c r="D142" s="63"/>
      <c r="E142" s="64"/>
      <c r="F142" s="65"/>
      <c r="G142" s="66" t="str">
        <f>IFERROR(INDEX($F$1:$F$1001,ROW())/INDEX($D$1:$D$1001,ROW()),0)</f>
        <v/>
      </c>
      <c r="H142" s="67"/>
    </row>
    <row r="143" spans="2:8">
      <c r="B143" s="61" t="s">
        <v>596</v>
      </c>
      <c r="C143" s="62"/>
      <c r="D143" s="63"/>
      <c r="E143" s="64"/>
      <c r="F143" s="65"/>
      <c r="G143" s="66" t="str">
        <f>IFERROR(INDEX($F$1:$F$1001,ROW())/INDEX($D$1:$D$1001,ROW()),0)</f>
        <v/>
      </c>
      <c r="H143" s="67"/>
    </row>
    <row r="144" spans="2:8">
      <c r="B144" s="61" t="s">
        <v>597</v>
      </c>
      <c r="C144" s="62"/>
      <c r="D144" s="63"/>
      <c r="E144" s="64"/>
      <c r="F144" s="65"/>
      <c r="G144" s="66" t="str">
        <f>IFERROR(INDEX($F$1:$F$1001,ROW())/INDEX($D$1:$D$1001,ROW()),0)</f>
        <v/>
      </c>
      <c r="H144" s="67"/>
    </row>
    <row r="145" spans="2:8">
      <c r="B145" s="61" t="s">
        <v>598</v>
      </c>
      <c r="C145" s="62"/>
      <c r="D145" s="63"/>
      <c r="E145" s="64"/>
      <c r="F145" s="65"/>
      <c r="G145" s="66" t="str">
        <f>IFERROR(INDEX($F$1:$F$1001,ROW())/INDEX($D$1:$D$1001,ROW()),0)</f>
        <v/>
      </c>
      <c r="H145" s="67"/>
    </row>
    <row r="146" spans="2:8">
      <c r="B146" s="61" t="s">
        <v>599</v>
      </c>
      <c r="C146" s="62"/>
      <c r="D146" s="63"/>
      <c r="E146" s="64"/>
      <c r="F146" s="65"/>
      <c r="G146" s="66" t="str">
        <f>IFERROR(INDEX($F$1:$F$1001,ROW())/INDEX($D$1:$D$1001,ROW()),0)</f>
        <v/>
      </c>
      <c r="H146" s="67"/>
    </row>
    <row r="147" spans="2:8">
      <c r="B147" s="61" t="s">
        <v>600</v>
      </c>
      <c r="C147" s="62"/>
      <c r="D147" s="63"/>
      <c r="E147" s="64"/>
      <c r="F147" s="65"/>
      <c r="G147" s="66" t="str">
        <f>IFERROR(INDEX($F$1:$F$1001,ROW())/INDEX($D$1:$D$1001,ROW()),0)</f>
        <v/>
      </c>
      <c r="H147" s="67"/>
    </row>
    <row r="148" spans="2:8">
      <c r="B148" s="61" t="s">
        <v>601</v>
      </c>
      <c r="C148" s="62"/>
      <c r="D148" s="63"/>
      <c r="E148" s="64"/>
      <c r="F148" s="65"/>
      <c r="G148" s="66" t="str">
        <f>IFERROR(INDEX($F$1:$F$1001,ROW())/INDEX($D$1:$D$1001,ROW()),0)</f>
        <v/>
      </c>
      <c r="H148" s="67"/>
    </row>
    <row r="149" spans="2:8">
      <c r="B149" s="61" t="s">
        <v>602</v>
      </c>
      <c r="C149" s="62"/>
      <c r="D149" s="63"/>
      <c r="E149" s="64"/>
      <c r="F149" s="65"/>
      <c r="G149" s="66" t="str">
        <f>IFERROR(INDEX($F$1:$F$1001,ROW())/INDEX($D$1:$D$1001,ROW()),0)</f>
        <v/>
      </c>
      <c r="H149" s="67"/>
    </row>
    <row r="150" spans="2:8">
      <c r="B150" s="61" t="s">
        <v>603</v>
      </c>
      <c r="C150" s="62"/>
      <c r="D150" s="63"/>
      <c r="E150" s="64"/>
      <c r="F150" s="65"/>
      <c r="G150" s="66" t="str">
        <f>IFERROR(INDEX($F$1:$F$1001,ROW())/INDEX($D$1:$D$1001,ROW()),0)</f>
        <v/>
      </c>
      <c r="H150" s="67"/>
    </row>
    <row r="151" spans="2:8">
      <c r="B151" s="61" t="s">
        <v>604</v>
      </c>
      <c r="C151" s="62"/>
      <c r="D151" s="63"/>
      <c r="E151" s="64"/>
      <c r="F151" s="65"/>
      <c r="G151" s="66" t="str">
        <f>IFERROR(INDEX($F$1:$F$1001,ROW())/INDEX($D$1:$D$1001,ROW()),0)</f>
        <v/>
      </c>
      <c r="H151" s="67"/>
    </row>
    <row r="152" spans="2:8">
      <c r="B152" s="61" t="s">
        <v>605</v>
      </c>
      <c r="C152" s="62"/>
      <c r="D152" s="63"/>
      <c r="E152" s="64"/>
      <c r="F152" s="65"/>
      <c r="G152" s="66" t="str">
        <f>IFERROR(INDEX($F$1:$F$1001,ROW())/INDEX($D$1:$D$1001,ROW()),0)</f>
        <v/>
      </c>
      <c r="H152" s="67"/>
    </row>
    <row r="153" spans="2:8">
      <c r="B153" s="61" t="s">
        <v>606</v>
      </c>
      <c r="C153" s="62"/>
      <c r="D153" s="63"/>
      <c r="E153" s="64"/>
      <c r="F153" s="65"/>
      <c r="G153" s="66" t="str">
        <f>IFERROR(INDEX($F$1:$F$1001,ROW())/INDEX($D$1:$D$1001,ROW()),0)</f>
        <v/>
      </c>
      <c r="H153" s="67"/>
    </row>
    <row r="154" spans="2:8">
      <c r="B154" s="61" t="s">
        <v>607</v>
      </c>
      <c r="C154" s="62"/>
      <c r="D154" s="63"/>
      <c r="E154" s="64"/>
      <c r="F154" s="65"/>
      <c r="G154" s="66" t="str">
        <f>IFERROR(INDEX($F$1:$F$1001,ROW())/INDEX($D$1:$D$1001,ROW()),0)</f>
        <v/>
      </c>
      <c r="H154" s="67"/>
    </row>
    <row r="155" spans="2:8">
      <c r="B155" s="61" t="s">
        <v>608</v>
      </c>
      <c r="C155" s="62"/>
      <c r="D155" s="63"/>
      <c r="E155" s="64"/>
      <c r="F155" s="65"/>
      <c r="G155" s="66" t="str">
        <f>IFERROR(INDEX($F$1:$F$1001,ROW())/INDEX($D$1:$D$1001,ROW()),0)</f>
        <v/>
      </c>
      <c r="H155" s="67"/>
    </row>
    <row r="156" spans="2:8">
      <c r="B156" s="68" t="str">
        <f>IF($E$2="","",VLOOKUP($E$2,Sprachversionen!$B:$BN,38,FALSE))</f>
        <v/>
      </c>
      <c r="C156" s="69"/>
      <c r="D156" s="70" t="str">
        <f>SUMPRODUCT(ROUND(D136:D155,2))</f>
        <v/>
      </c>
      <c r="E156" s="70" t="str">
        <f>SUMPRODUCT(ROUND(E136:E155,2))</f>
        <v/>
      </c>
      <c r="F156" s="70" t="str">
        <f>SUMPRODUCT(ROUND(F136:F155,2))</f>
        <v/>
      </c>
      <c r="G156" s="66" t="str">
        <f>IFERROR(INDEX($F$1:$F$1001,ROW())/INDEX($D$1:$D$1001,ROW()),0)</f>
        <v/>
      </c>
      <c r="H156" s="71"/>
    </row>
    <row r="157" spans="2:8">
      <c r="B157" s="56" t="s">
        <v>609</v>
      </c>
      <c r="C157" s="72" t="str">
        <f>IF($E$2="","",VLOOKUP($E$2,Sprachversionen!$B:$BN,39,FALSE))</f>
        <v/>
      </c>
      <c r="D157" s="63"/>
      <c r="E157" s="64"/>
      <c r="F157" s="65"/>
      <c r="G157" s="66" t="str">
        <f>IFERROR(INDEX($F$1:$F$1001,ROW())/INDEX($D$1:$D$1001,ROW()),0)</f>
        <v/>
      </c>
      <c r="H157" s="67"/>
    </row>
    <row r="158" spans="2:8">
      <c r="B158" s="56" t="s">
        <v>610</v>
      </c>
      <c r="C158" s="72" t="str">
        <f>IF($E$2="","",VLOOKUP($E$2,Sprachversionen!$B:$BN,40,FALSE))</f>
        <v/>
      </c>
      <c r="D158" s="63"/>
      <c r="E158" s="64"/>
      <c r="F158" s="65"/>
      <c r="G158" s="66" t="str">
        <f>IFERROR(INDEX($F$1:$F$1001,ROW())/INDEX($D$1:$D$1001,ROW()),0)</f>
        <v/>
      </c>
      <c r="H158" s="67"/>
    </row>
    <row r="159" spans="2:8">
      <c r="B159" s="56" t="s">
        <v>611</v>
      </c>
      <c r="C159" s="73" t="str">
        <f>IF($E$2="","",VLOOKUP($E$2,Sprachversionen!$B:$BN,41,FALSE))</f>
        <v/>
      </c>
      <c r="D159" s="63"/>
      <c r="E159" s="64"/>
      <c r="F159" s="65"/>
      <c r="G159" s="66" t="str">
        <f>IFERROR(INDEX($F$1:$F$1001,ROW())/INDEX($D$1:$D$1001,ROW()),0)</f>
        <v/>
      </c>
      <c r="H159" s="67"/>
    </row>
    <row r="160" spans="2:8">
      <c r="B160" s="74" t="str">
        <f>IF($E$2="","",VLOOKUP($E$2,Sprachversionen!$B:$BN,42,FALSE))</f>
        <v/>
      </c>
      <c r="C160" s="75"/>
      <c r="D160" s="76" t="str">
        <f>SUM(D48+D70+D102+D134+D156+D157+D158+D159)</f>
        <v/>
      </c>
      <c r="E160" s="76" t="str">
        <f>SUM(E48+E70+E102+E134+E156+E157+E158+E159)</f>
        <v/>
      </c>
      <c r="F160" s="76" t="str">
        <f>SUM(F48+F70+F102+F134+F156+F157+F158+F159)</f>
        <v/>
      </c>
      <c r="G160" s="66" t="str">
        <f>IFERROR(INDEX($F$1:$F$1001,ROW())/INDEX($D$1:$D$1001,ROW()),0)</f>
        <v/>
      </c>
      <c r="H160" s="77"/>
    </row>
    <row r="164" spans="2:5">
      <c r="E164" s="79" t="str">
        <f>IF($E$2="","",VLOOKUP($E$2,Sprachversionen!$B:$BN,44,FALSE))</f>
        <v/>
      </c>
    </row>
    <row r="165" spans="2:5">
      <c r="B165" s="78" t="str">
        <f>IF($E$2="","",VLOOKUP($E$2,Sprachversionen!$B:$BN,43,FALSE))</f>
        <v/>
      </c>
      <c r="C165" s="78"/>
      <c r="D165" s="78"/>
      <c r="E165" s="79"/>
    </row>
    <row r="166" spans="2:5">
      <c r="B166" s="6"/>
      <c r="C166" s="6"/>
      <c r="D166" s="80"/>
      <c r="E166" s="80" t="str">
        <f>B13</f>
        <v/>
      </c>
    </row>
    <row r="168" spans="2:5">
      <c r="B168" s="57" t="str">
        <f>IF($E$2="","",VLOOKUP($E$2,Sprachversionen!$B:$BN,45,FALSE))</f>
        <v/>
      </c>
      <c r="C168" s="57"/>
      <c r="D168" s="81" t="str">
        <f>IF(ROUND(E168;2)=ROUND(F20-F160;2);"✓";"")</f>
        <v/>
      </c>
      <c r="E168" s="65" t="str">
        <f>E20-E160</f>
        <v/>
      </c>
    </row>
    <row r="170" spans="2:5">
      <c r="B170" s="57" t="str">
        <f>IF($E$2="","",VLOOKUP($E$2,Sprachversionen!$B:$BN,46,FALSE))</f>
        <v/>
      </c>
      <c r="C170" s="57"/>
      <c r="D170" s="57"/>
      <c r="E170" s="82" t="str">
        <f>IF(E168=SUM(E170:E172);"OK";"")</f>
        <v/>
      </c>
    </row>
    <row r="171" spans="2:5">
      <c r="B171" s="83" t="str">
        <f>IF($E$2="","",VLOOKUP($E$2,Sprachversionen!$B:$BN,47,FALSE))</f>
        <v/>
      </c>
      <c r="C171" s="83"/>
      <c r="D171" s="83"/>
      <c r="E171" s="65"/>
    </row>
    <row r="172" spans="2:5">
      <c r="B172" s="83" t="str">
        <f>IF($E$2="","",VLOOKUP($E$2,Sprachversionen!$B:$BN,48,FALSE))</f>
        <v/>
      </c>
      <c r="C172" s="83"/>
      <c r="D172" s="83"/>
      <c r="E172" s="65"/>
    </row>
    <row r="173" spans="2:5">
      <c r="B173" s="83" t="str">
        <f>IF($E$2="","",VLOOKUP($E$2,Sprachversionen!$B:$BN,49,FALSE))</f>
        <v/>
      </c>
      <c r="C173" s="83"/>
      <c r="D173" s="83"/>
      <c r="E173" s="65"/>
    </row>
    <row r="174" spans="2:5">
      <c r="B174" s="6"/>
      <c r="C174" s="6"/>
      <c r="D174" s="6"/>
      <c r="E174" s="6"/>
    </row>
    <row r="175" spans="2:5">
      <c r="B175" s="6"/>
      <c r="C175" s="6"/>
      <c r="D175" s="6"/>
      <c r="E175" s="6"/>
    </row>
    <row r="176" spans="2:5">
      <c r="B176" s="6"/>
      <c r="C176" s="6"/>
      <c r="D176" s="6"/>
      <c r="E176" s="6"/>
    </row>
    <row r="177" spans="2:5">
      <c r="B177" s="6" t="str">
        <f>IF($E$2="","",VLOOKUP($E$2,Sprachversionen!$B:$BN,50,FALSE))</f>
        <v/>
      </c>
    </row>
    <row r="178" spans="2:5">
      <c r="B178" s="6" t="str">
        <f>IF($E$2="","",VLOOKUP($E$2,Sprachversionen!$B:$BN,54,FALSE))</f>
        <v/>
      </c>
    </row>
    <row r="179" spans="2:5">
      <c r="B179" s="6"/>
      <c r="C179" s="6"/>
      <c r="D179" s="6"/>
      <c r="E179" s="6"/>
    </row>
    <row r="180" spans="2:5">
      <c r="B180" s="6"/>
      <c r="C180" s="6"/>
      <c r="D180" s="6"/>
      <c r="E180" s="6"/>
    </row>
    <row r="181" spans="2:5">
      <c r="B181" s="6"/>
      <c r="C181" s="6"/>
      <c r="D181" s="6"/>
      <c r="E181" s="6"/>
    </row>
    <row r="182" spans="2:5">
      <c r="B182" s="6"/>
      <c r="C182" s="6"/>
      <c r="D182" s="6"/>
      <c r="E182" s="6"/>
    </row>
    <row r="183" spans="2:5">
      <c r="B183" s="84" t="str">
        <f>IF($E$2="","",VLOOKUP($E$2,Sprachversionen!$B:$BN,51,FALSE))</f>
        <v/>
      </c>
      <c r="C183" s="6"/>
      <c r="D183" s="84" t="str">
        <f>IF($E$2="","",VLOOKUP($E$2,Sprachversionen!$B:$BN,52,FALSE))</f>
        <v/>
      </c>
      <c r="E183" s="6"/>
    </row>
    <row r="184" spans="2:5">
      <c r="B184" s="6"/>
      <c r="C184" s="6"/>
      <c r="D184" s="6"/>
      <c r="E184" s="6"/>
    </row>
  </sheetData>
  <sheetProtection password="CBEB" sheet="1" objects="1" formatCells="0" formatColumns="0" formatRows="0" insertHyperlinks="0" sort="0" autoFilter="0" pivotTables="0"/>
  <mergeCells count="37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D11:D14"/>
    <mergeCell ref="E11:E14"/>
    <mergeCell ref="F11:F14"/>
    <mergeCell ref="G11:G14"/>
    <mergeCell ref="H11:H14"/>
    <mergeCell ref="J11:K11"/>
    <mergeCell ref="Q11:R11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165:D165"/>
    <mergeCell ref="E164:E165"/>
    <mergeCell ref="B166:C1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Sprachversionen</vt:lpstr>
      <vt:lpstr>Financial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2026-01-18T21:35:18Z</dcterms:created>
  <dcterms:modified xsi:type="dcterms:W3CDTF">2026-01-18T21:35:18Z</dcterms:modified>
</cp:coreProperties>
</file>