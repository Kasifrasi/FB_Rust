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elatório financei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<sst xmlns="http://schemas.openxmlformats.org/spreadsheetml/2006/main" count="631" uniqueCount="612">
  <si>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</si>
  <si>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</si>
  <si>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</si>
  <si>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</si>
  <si>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</si>
  <si>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</si>
  <si>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</si>
  <si>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</si>
  <si>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</si>
  <si>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</si>
  <si>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</si>
  <si>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</si>
  <si>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</si>
  <si>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</si>
  <si>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</si>
  <si>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</si>
  <si>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</si>
  <si>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</si>
  <si>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</si>
  <si>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</si>
  <si>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</si>
  <si>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</si>
  <si>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</si>
  <si>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</si>
  <si>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</si>
  <si>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</si>
  <si>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</si>
  <si>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</si>
  <si>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</si>
  <si>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</si>
  <si>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</si>
  <si>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</si>
  <si>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</si>
  <si>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</si>
  <si>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</si>
  <si>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</si>
  <si>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</si>
  <si>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</si>
  <si>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</si>
  <si>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</si>
  <si>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</si>
  <si>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</si>
  <si>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</si>
  <si>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</si>
  <si>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</si>
  <si>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</si>
  <si>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</si>
  <si>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</si>
  <si>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</si>
  <si>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</si>
  <si>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</si>
  <si>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</si>
  <si>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</si>
  <si>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</si>
  <si>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</si>
  <si>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</si>
  <si>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</si>
  <si>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</si>
  <si>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</si>
  <si>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</si>
  <si>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</si>
  <si>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</si>
  <si>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</si>
  <si>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</si>
  <si>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</si>
  <si>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</si>
  <si>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</si>
  <si>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</si>
  <si>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</si>
  <si>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</si>
  <si>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</si>
  <si>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</si>
  <si>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</si>
  <si>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</si>
  <si>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</si>
  <si>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</si>
  <si>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</si>
  <si>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</si>
  <si>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</si>
  <si>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</si>
  <si>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</si>
  <si>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</si>
  <si>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</si>
  <si>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</si>
  <si>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</si>
  <si>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</si>
  <si>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</si>
  <si>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</si>
  <si>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</si>
  <si>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</si>
  <si>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</si>
  <si>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</si>
  <si>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</si>
  <si>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</si>
  <si>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</si>
  <si>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</si>
  <si>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</si>
  <si>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</si>
  <si>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</si>
  <si>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</si>
  <si>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</si>
  <si>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</si>
  <si>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</si>
  <si>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</si>
  <si>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</si>
  <si>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</si>
  <si>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</si>
  <si>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</si>
  <si>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</si>
  <si>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</si>
  <si>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</si>
  <si>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</si>
  <si>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</si>
  <si>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</si>
  <si>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</si>
  <si>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</si>
  <si>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</si>
  <si>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</si>
  <si>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</si>
  <si>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</si>
  <si>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</si>
  <si>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</si>
  <si>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</si>
  <si>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</si>
  <si>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</si>
  <si>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</si>
  <si>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</si>
  <si>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</si>
  <si>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</si>
  <si>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</si>
  <si>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</si>
  <si>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</si>
  <si>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</si>
  <si>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</si>
  <si>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</si>
  <si>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</si>
  <si>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</si>
  <si>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</si>
  <si>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</si>
  <si>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</si>
  <si>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</si>
  <si>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</si>
  <si>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</si>
  <si>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</si>
  <si>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</si>
  <si>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</si>
  <si>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</si>
  <si>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</si>
  <si>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</si>
  <si>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</si>
  <si>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</si>
  <si>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</si>
  <si>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</si>
  <si>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</si>
  <si>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</si>
  <si>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</si>
  <si>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</si>
  <si>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</si>
  <si>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</si>
  <si>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</si>
  <si>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</si>
  <si>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</si>
  <si>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</si>
  <si>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</si>
  <si>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</si>
  <si>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</si>
  <si>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</si>
  <si>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</si>
  <si>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</si>
  <si>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</si>
  <si>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</si>
  <si>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</si>
  <si>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</si>
  <si>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</si>
  <si>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</si>
  <si>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</si>
  <si>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</si>
  <si>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</si>
  <si>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</si>
  <si>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</si>
  <si>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</si>
  <si>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</si>
  <si>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</si>
  <si>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</si>
  <si>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</si>
  <si>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</si>
  <si>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</si>
  <si>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</si>
  <si>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</si>
  <si>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</si>
  <si>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</si>
  <si>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</si>
  <si>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</si>
  <si>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</si>
  <si>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</si>
  <si>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</si>
  <si>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</si>
  <si>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</si>
  <si>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</si>
  <si>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</si>
  <si>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</si>
  <si>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</si>
  <si>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</si>
  <si>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</si>
  <si>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</si>
  <si>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</si>
  <si>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</si>
  <si>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</si>
  <si>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</si>
  <si>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</si>
  <si>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</si>
  <si>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</si>
  <si>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</si>
  <si>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</si>
  <si>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</si>
  <si>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</si>
  <si>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</si>
  <si>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</si>
  <si>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</si>
  <si>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</si>
  <si>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</si>
  <si>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</si>
  <si>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</si>
  <si>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</si>
  <si>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</si>
  <si>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</si>
  <si>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</si>
  <si>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</si>
  <si>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</si>
  <si>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</si>
  <si>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</si>
  <si>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</si>
  <si>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</si>
  <si>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</si>
  <si>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</si>
  <si>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</si>
  <si>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</si>
  <si>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</si>
  <si>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</si>
  <si>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</si>
  <si>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</si>
  <si>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</si>
  <si>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</si>
  <si>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</si>
  <si>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</si>
  <si>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</si>
  <si>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</si>
  <si>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</si>
  <si>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</si>
  <si>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</si>
  <si>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</si>
  <si>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</si>
  <si>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</si>
  <si>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</si>
  <si>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</si>
  <si>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</si>
  <si>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</si>
  <si>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</si>
  <si>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</si>
  <si>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</si>
  <si>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</si>
  <si>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</si>
  <si>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</si>
  <si>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</si>
  <si>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</si>
  <si>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</si>
  <si>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</si>
  <si>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</si>
  <si>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</si>
  <si>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</si>
  <si>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</si>
  <si>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</si>
  <si>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</si>
  <si>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</si>
  <si>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</si>
  <si>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</si>
  <si>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</si>
  <si>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</si>
  <si>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</si>
  <si>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</si>
  <si>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</si>
  <si>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</si>
  <si>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</si>
  <si>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</si>
  <si>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</si>
  <si>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</si>
  <si>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</si>
  <si>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</si>
  <si>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</si>
  <si>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</si>
  <si>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</si>
  <si>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</si>
  <si>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</si>
  <si>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</si>
  <si>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</si>
  <si>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</si>
  <si>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</si>
  <si>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</si>
  <si>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</si>
  <si>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</si>
  <si>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</si>
  <si>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</si>
  <si>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</si>
  <si>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</si>
  <si>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</si>
  <si>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</si>
  <si>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</si>
  <si>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</si>
  <si>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</si>
  <si>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</si>
  <si>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</si>
  <si>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</si>
  <si>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</si>
  <si>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</si>
  <si>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</si>
  <si>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</si>
  <si>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</si>
  <si>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</si>
  <si>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</si>
  <si>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</si>
  <si>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</si>
  <si>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</si>
  <si>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</si>
  <si>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</si>
  <si>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</si>
  <si>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</si>
  <si>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</si>
  <si>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</si>
  <si>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</si>
  <si>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</si>
  <si>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</si>
  <si>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</si>
  <si>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</si>
  <si>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</si>
  <si>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</si>
  <si>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</si>
  <si>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</si>
  <si>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</si>
  <si>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</si>
  <si>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</si>
  <si>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</si>
  <si>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</si>
  <si>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</si>
  <si>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</si>
  <si>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</si>
  <si>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</si>
  <si>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</si>
  <si>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</si>
  <si>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</si>
  <si>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</si>
  <si>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</si>
  <si>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</si>
  <si>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</si>
  <si>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</si>
  <si>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</si>
  <si>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</si>
  <si>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</si>
  <si>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</si>
  <si>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</si>
  <si>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</si>
  <si>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</si>
  <si>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</si>
  <si>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</si>
  <si>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</si>
  <si>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</si>
  <si>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</si>
  <si>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</si>
  <si>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</si>
  <si>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</si>
  <si>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</si>
  <si>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</si>
  <si>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</si>
  <si>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</si>
  <si>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</si>
  <si>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</si>
  <si>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</si>
  <si>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</si>
  <si>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</si>
  <si>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</si>
  <si>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</si>
  <si>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</si>
  <si>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</si>
  <si>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</si>
  <si>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</si>
  <si>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</si>
  <si>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</si>
  <si>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</si>
  <si>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</si>
  <si>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</si>
  <si>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</si>
  <si>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</si>
  <si>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</si>
  <si>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</si>
  <si>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</si>
  <si>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</si>
  <si>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</si>
  <si>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</si>
  <si>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</si>
  <si>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</si>
  <si>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</si>
  <si>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</si>
  <si>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</si>
  <si>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</si>
  <si>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</si>
  <si>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</si>
  <si>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</si>
  <si>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</si>
  <si>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</si>
  <si>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</si>
  <si>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</si>
  <si>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</si>
  <si>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</si>
  <si>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</si>
  <si>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</si>
  <si>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</si>
  <si>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</si>
  <si>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</si>
  <si>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</si>
  <si>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</si>
  <si>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</si>
  <si>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</si>
  <si>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</si>
  <si>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</si>
  <si>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</si>
  <si>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</si>
  <si>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</si>
  <si>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</si>
  <si>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</si>
  <si>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</si>
  <si>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</si>
  <si>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</si>
  <si>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</si>
  <si>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</si>
  <si>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</si>
  <si>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</si>
  <si>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</si>
  <si>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</si>
  <si>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</si>
  <si>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</si>
  <si>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</si>
  <si>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</si>
  <si>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</si>
  <si>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</si>
  <si>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</si>
  <si>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</si>
  <si>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</si>
  <si>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_po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</si>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</sst>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242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2" t="s">
        <v>490</v>
      </c>
      <c r="C33" s="63"/>
      <c r="D33" s="64"/>
      <c r="E33" s="65"/>
      <c r="F33" s="66"/>
      <c r="G33" s="67" t="str">
        <f>IFERROR(INDEX($F$1:$F$1001,ROW())/INDEX($D$1:$D$1001,ROW()),0)</f>
        <v/>
      </c>
      <c r="H33" s="68"/>
    </row>
    <row r="34" spans="2:8">
      <c r="B34" s="62" t="s">
        <v>491</v>
      </c>
      <c r="C34" s="63"/>
      <c r="D34" s="64"/>
      <c r="E34" s="65"/>
      <c r="F34" s="66"/>
      <c r="G34" s="67" t="str">
        <f>IFERROR(INDEX($F$1:$F$1001,ROW())/INDEX($D$1:$D$1001,ROW()),0)</f>
        <v/>
      </c>
      <c r="H34" s="68"/>
    </row>
    <row r="35" spans="2:8">
      <c r="B35" s="62" t="s">
        <v>492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493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494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495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496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497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498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499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500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501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502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503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504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9" t="str">
        <f>IF($E$2="","",VLOOKUP($E$2,Sprachversionen!$B:$BN,30,FALSE))</f>
        <v/>
      </c>
      <c r="C48" s="70"/>
      <c r="D48" s="71" t="str">
        <f t="array" ref="D48">SUMPRODUCT(ROUND(D28:D47,2))</f>
        <v/>
      </c>
      <c r="E48" s="71" t="str">
        <f t="array" ref="E48">SUMPRODUCT(ROUND(E28:E47,2))</f>
        <v/>
      </c>
      <c r="F48" s="71" t="str">
        <f t="array" ref="F48">SUMPRODUCT(ROUND(F28:F47,2))</f>
        <v/>
      </c>
      <c r="G48" s="67" t="str">
        <f>IFERROR(INDEX($F$1:$F$1001,ROW())/INDEX($D$1:$D$1001,ROW()),0)</f>
        <v/>
      </c>
      <c r="H48" s="73"/>
    </row>
    <row r="49" spans="2:8">
      <c r="B49" s="57" t="s">
        <v>505</v>
      </c>
      <c r="C49" s="58" t="str">
        <f>IF($E$2="","",VLOOKUP($E$2,Sprachversionen!$B:$BN,31,FALSE))</f>
        <v/>
      </c>
      <c r="D49" s="59"/>
      <c r="E49" s="59"/>
      <c r="F49" s="59"/>
      <c r="G49" s="60"/>
      <c r="H49" s="61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2" t="s">
        <v>521</v>
      </c>
      <c r="C65" s="63"/>
      <c r="D65" s="64"/>
      <c r="E65" s="65"/>
      <c r="F65" s="66"/>
      <c r="G65" s="67" t="str">
        <f>IFERROR(INDEX($F$1:$F$1001,ROW())/INDEX($D$1:$D$1001,ROW()),0)</f>
        <v/>
      </c>
      <c r="H65" s="68"/>
    </row>
    <row r="66" spans="2:8">
      <c r="B66" s="62" t="s">
        <v>522</v>
      </c>
      <c r="C66" s="63"/>
      <c r="D66" s="64"/>
      <c r="E66" s="65"/>
      <c r="F66" s="66"/>
      <c r="G66" s="67" t="str">
        <f>IFERROR(INDEX($F$1:$F$1001,ROW())/INDEX($D$1:$D$1001,ROW()),0)</f>
        <v/>
      </c>
      <c r="H66" s="68"/>
    </row>
    <row r="67" spans="2:8">
      <c r="B67" s="62" t="s">
        <v>523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524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525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9" t="str">
        <f>IF($E$2="","",VLOOKUP($E$2,Sprachversionen!$B:$BN,32,FALSE))</f>
        <v/>
      </c>
      <c r="C70" s="70"/>
      <c r="D70" s="71" t="str">
        <f t="array" ref="D70">SUMPRODUCT(ROUND(D50:D69,2))</f>
        <v/>
      </c>
      <c r="E70" s="71" t="str">
        <f t="array" ref="E70">SUMPRODUCT(ROUND(E50:E69,2))</f>
        <v/>
      </c>
      <c r="F70" s="71" t="str">
        <f t="array" ref="F70">SUMPRODUCT(ROUND(F50:F69,2))</f>
        <v/>
      </c>
      <c r="G70" s="67" t="str">
        <f>IFERROR(INDEX($F$1:$F$1001,ROW())/INDEX($D$1:$D$1001,ROW()),0)</f>
        <v/>
      </c>
      <c r="H70" s="73"/>
    </row>
    <row r="71" spans="2:8">
      <c r="B71" s="57" t="s">
        <v>526</v>
      </c>
      <c r="C71" s="58" t="str">
        <f>IF($E$2="","",VLOOKUP($E$2,Sprachversionen!$B:$BN,33,FALSE))</f>
        <v/>
      </c>
      <c r="D71" s="59"/>
      <c r="E71" s="59"/>
      <c r="F71" s="59"/>
      <c r="G71" s="60"/>
      <c r="H71" s="61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2" t="s">
        <v>552</v>
      </c>
      <c r="C97" s="63"/>
      <c r="D97" s="64"/>
      <c r="E97" s="65"/>
      <c r="F97" s="66"/>
      <c r="G97" s="67" t="str">
        <f>IFERROR(INDEX($F$1:$F$1001,ROW())/INDEX($D$1:$D$1001,ROW()),0)</f>
        <v/>
      </c>
      <c r="H97" s="68"/>
    </row>
    <row r="98" spans="2:8">
      <c r="B98" s="62" t="s">
        <v>553</v>
      </c>
      <c r="C98" s="63"/>
      <c r="D98" s="64"/>
      <c r="E98" s="65"/>
      <c r="F98" s="66"/>
      <c r="G98" s="67" t="str">
        <f>IFERROR(INDEX($F$1:$F$1001,ROW())/INDEX($D$1:$D$1001,ROW()),0)</f>
        <v/>
      </c>
      <c r="H98" s="68"/>
    </row>
    <row r="99" spans="2:8">
      <c r="B99" s="62" t="s">
        <v>554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555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556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9" t="str">
        <f>IF($E$2="","",VLOOKUP($E$2,Sprachversionen!$B:$BN,34,FALSE))</f>
        <v/>
      </c>
      <c r="C102" s="70"/>
      <c r="D102" s="71" t="str">
        <f t="array" ref="D102">SUMPRODUCT(ROUND(D72:D101,2))</f>
        <v/>
      </c>
      <c r="E102" s="71" t="str">
        <f t="array" ref="E102">SUMPRODUCT(ROUND(E72:E101,2))</f>
        <v/>
      </c>
      <c r="F102" s="71" t="str">
        <f t="array" ref="F102">SUMPRODUCT(ROUND(F72:F101,2))</f>
        <v/>
      </c>
      <c r="G102" s="67" t="str">
        <f>IFERROR(INDEX($F$1:$F$1001,ROW())/INDEX($D$1:$D$1001,ROW()),0)</f>
        <v/>
      </c>
      <c r="H102" s="73"/>
    </row>
    <row r="103" spans="2:8">
      <c r="B103" s="57" t="s">
        <v>557</v>
      </c>
      <c r="C103" s="58" t="str">
        <f>IF($E$2="","",VLOOKUP($E$2,Sprachversionen!$B:$BN,35,FALSE))</f>
        <v/>
      </c>
      <c r="D103" s="59"/>
      <c r="E103" s="59"/>
      <c r="F103" s="59"/>
      <c r="G103" s="60"/>
      <c r="H103" s="61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2" t="s">
        <v>583</v>
      </c>
      <c r="C129" s="63"/>
      <c r="D129" s="64"/>
      <c r="E129" s="65"/>
      <c r="F129" s="66"/>
      <c r="G129" s="67" t="str">
        <f>IFERROR(INDEX($F$1:$F$1001,ROW())/INDEX($D$1:$D$1001,ROW()),0)</f>
        <v/>
      </c>
      <c r="H129" s="68"/>
    </row>
    <row r="130" spans="2:8">
      <c r="B130" s="62" t="s">
        <v>584</v>
      </c>
      <c r="C130" s="63"/>
      <c r="D130" s="64"/>
      <c r="E130" s="65"/>
      <c r="F130" s="66"/>
      <c r="G130" s="67" t="str">
        <f>IFERROR(INDEX($F$1:$F$1001,ROW())/INDEX($D$1:$D$1001,ROW()),0)</f>
        <v/>
      </c>
      <c r="H130" s="68"/>
    </row>
    <row r="131" spans="2:8">
      <c r="B131" s="62" t="s">
        <v>585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586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587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9" t="str">
        <f>IF($E$2="","",VLOOKUP($E$2,Sprachversionen!$B:$BN,36,FALSE))</f>
        <v/>
      </c>
      <c r="C134" s="70"/>
      <c r="D134" s="71" t="str">
        <f t="array" ref="D134">SUMPRODUCT(ROUND(D104:D133,2))</f>
        <v/>
      </c>
      <c r="E134" s="71" t="str">
        <f t="array" ref="E134">SUMPRODUCT(ROUND(E104:E133,2))</f>
        <v/>
      </c>
      <c r="F134" s="71" t="str">
        <f t="array" ref="F134">SUMPRODUCT(ROUND(F104:F133,2))</f>
        <v/>
      </c>
      <c r="G134" s="67" t="str">
        <f>IFERROR(INDEX($F$1:$F$1001,ROW())/INDEX($D$1:$D$1001,ROW()),0)</f>
        <v/>
      </c>
      <c r="H134" s="73"/>
    </row>
    <row r="135" spans="2:8">
      <c r="B135" s="57" t="s">
        <v>588</v>
      </c>
      <c r="C135" s="58" t="str">
        <f>IF($E$2="","",VLOOKUP($E$2,Sprachversionen!$B:$BN,37,FALSE))</f>
        <v/>
      </c>
      <c r="D135" s="59"/>
      <c r="E135" s="59"/>
      <c r="F135" s="59"/>
      <c r="G135" s="60"/>
      <c r="H135" s="61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2" t="s">
        <v>604</v>
      </c>
      <c r="C151" s="63"/>
      <c r="D151" s="64"/>
      <c r="E151" s="65"/>
      <c r="F151" s="66"/>
      <c r="G151" s="67" t="str">
        <f>IFERROR(INDEX($F$1:$F$1001,ROW())/INDEX($D$1:$D$1001,ROW()),0)</f>
        <v/>
      </c>
      <c r="H151" s="68"/>
    </row>
    <row r="152" spans="2:8">
      <c r="B152" s="62" t="s">
        <v>605</v>
      </c>
      <c r="C152" s="63"/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62" t="s">
        <v>606</v>
      </c>
      <c r="C153" s="63"/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62" t="s">
        <v>607</v>
      </c>
      <c r="C154" s="63"/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62" t="s">
        <v>608</v>
      </c>
      <c r="C155" s="63"/>
      <c r="D155" s="64"/>
      <c r="E155" s="65"/>
      <c r="F155" s="66"/>
      <c r="G155" s="67" t="str">
        <f>IFERROR(INDEX($F$1:$F$1001,ROW())/INDEX($D$1:$D$1001,ROW()),0)</f>
        <v/>
      </c>
      <c r="H155" s="68"/>
    </row>
    <row r="156" spans="2:8">
      <c r="B156" s="69" t="str">
        <f>IF($E$2="","",VLOOKUP($E$2,Sprachversionen!$B:$BN,38,FALSE))</f>
        <v/>
      </c>
      <c r="C156" s="70"/>
      <c r="D156" s="71" t="str">
        <f t="array" ref="D156">SUMPRODUCT(ROUND(D136:D155,2))</f>
        <v/>
      </c>
      <c r="E156" s="71" t="str">
        <f t="array" ref="E156">SUMPRODUCT(ROUND(E136:E155,2))</f>
        <v/>
      </c>
      <c r="F156" s="71" t="str">
        <f t="array" ref="F156">SUMPRODUCT(ROUND(F136:F155,2))</f>
        <v/>
      </c>
      <c r="G156" s="67" t="str">
        <f>IFERROR(INDEX($F$1:$F$1001,ROW())/INDEX($D$1:$D$1001,ROW()),0)</f>
        <v/>
      </c>
      <c r="H156" s="73"/>
    </row>
    <row r="157" spans="2:8">
      <c r="B157" s="57" t="s">
        <v>609</v>
      </c>
      <c r="C157" s="74" t="str">
        <f>IF($E$2="","",VLOOKUP($E$2,Sprachversionen!$B:$BN,39,FALSE))</f>
        <v/>
      </c>
      <c r="D157" s="64"/>
      <c r="E157" s="65"/>
      <c r="F157" s="66"/>
      <c r="G157" s="67" t="str">
        <f>IFERROR(INDEX($F$1:$F$1001,ROW())/INDEX($D$1:$D$1001,ROW()),0)</f>
        <v/>
      </c>
      <c r="H157" s="68"/>
    </row>
    <row r="158" spans="2:8">
      <c r="B158" s="57" t="s">
        <v>610</v>
      </c>
      <c r="C158" s="74" t="str">
        <f>IF($E$2="","",VLOOKUP($E$2,Sprachversionen!$B:$BN,40,FALSE))</f>
        <v/>
      </c>
      <c r="D158" s="64"/>
      <c r="E158" s="65"/>
      <c r="F158" s="66"/>
      <c r="G158" s="67" t="str">
        <f>IFERROR(INDEX($F$1:$F$1001,ROW())/INDEX($D$1:$D$1001,ROW()),0)</f>
        <v/>
      </c>
      <c r="H158" s="68"/>
    </row>
    <row r="159" spans="2:8">
      <c r="B159" s="57" t="s">
        <v>611</v>
      </c>
      <c r="C159" s="75" t="str">
        <f>IF($E$2="","",VLOOKUP($E$2,Sprachversionen!$B:$BN,41,FALSE))</f>
        <v/>
      </c>
      <c r="D159" s="64"/>
      <c r="E159" s="65"/>
      <c r="F159" s="66"/>
      <c r="G159" s="67" t="str">
        <f>IFERROR(INDEX($F$1:$F$1001,ROW())/INDEX($D$1:$D$1001,ROW()),0)</f>
        <v/>
      </c>
      <c r="H159" s="68"/>
    </row>
    <row r="160" spans="2:8">
      <c r="B160" s="76" t="str">
        <f>IF($E$2="","",VLOOKUP($E$2,Sprachversionen!$B:$BN,42,FALSE))</f>
        <v/>
      </c>
      <c r="C160" s="77"/>
      <c r="D160" s="78" t="str">
        <f>SUM(D48+D70+D102+D134+D156+D157+D158+D159)</f>
        <v/>
      </c>
      <c r="E160" s="78" t="str">
        <f>SUM(E48+E70+E102+E134+E156+E157+E158+E159)</f>
        <v/>
      </c>
      <c r="F160" s="78" t="str">
        <f>SUM(F48+F70+F102+F134+F156+F157+F158+F159)</f>
        <v/>
      </c>
      <c r="G160" s="67" t="str">
        <f>IFERROR(INDEX($F$1:$F$1001,ROW())/INDEX($D$1:$D$1001,ROW()),0)</f>
        <v/>
      </c>
      <c r="H160" s="80"/>
    </row>
    <row r="164" spans="2:5">
      <c r="E164" s="82" t="str">
        <f>IF($E$2="","",VLOOKUP($E$2,Sprachversionen!$B:$BN,44,FALSE))</f>
        <v/>
      </c>
    </row>
    <row r="165" spans="2:5">
      <c r="B165" s="81" t="str">
        <f>IF($E$2="","",VLOOKUP($E$2,Sprachversionen!$B:$BN,43,FALSE))</f>
        <v/>
      </c>
      <c r="C165" s="81"/>
      <c r="D165" s="81"/>
      <c r="E165" s="82"/>
    </row>
    <row r="166" spans="2:5">
      <c r="B166" s="6"/>
      <c r="C166" s="6"/>
      <c r="D166" s="83"/>
      <c r="E166" s="83" t="str">
        <f>B13</f>
        <v/>
      </c>
    </row>
    <row r="168" spans="2:5">
      <c r="B168" s="84" t="str">
        <f>IF($E$2="","",VLOOKUP($E$2,Sprachversionen!$B:$BN,45,FALSE))</f>
        <v/>
      </c>
      <c r="C168" s="6"/>
      <c r="D168" s="85" t="str">
        <f>IF(ROUND(E168;2)=ROUND(F20-F160;2);"✓";"")</f>
        <v/>
      </c>
      <c r="E168" s="86" t="str">
        <f>E20-E160</f>
        <v/>
      </c>
    </row>
    <row r="170" spans="2:5">
      <c r="B170" s="84" t="str">
        <f>IF($E$2="","",VLOOKUP($E$2,Sprachversionen!$B:$BN,46,FALSE))</f>
        <v/>
      </c>
      <c r="C170" s="6"/>
      <c r="D170" s="6"/>
      <c r="E170" s="87" t="str">
        <f>IF(E168=SUM(E170:E172);"OK";"")</f>
        <v/>
      </c>
    </row>
    <row r="171" spans="2:5">
      <c r="B171" s="6" t="str">
        <f>IF($E$2="","",VLOOKUP($E$2,Sprachversionen!$B:$BN,47,FALSE))</f>
        <v/>
      </c>
      <c r="C171" s="6"/>
      <c r="D171" s="6"/>
      <c r="E171" s="86"/>
    </row>
    <row r="172" spans="2:5">
      <c r="B172" s="6" t="str">
        <f>IF($E$2="","",VLOOKUP($E$2,Sprachversionen!$B:$BN,48,FALSE))</f>
        <v/>
      </c>
      <c r="C172" s="6"/>
      <c r="D172" s="6"/>
      <c r="E172" s="86"/>
    </row>
    <row r="173" spans="2:5">
      <c r="B173" s="6" t="str">
        <f>IF($E$2="","",VLOOKUP($E$2,Sprachversionen!$B:$BN,49,FALSE))</f>
        <v/>
      </c>
      <c r="C173" s="6"/>
      <c r="D173" s="6"/>
      <c r="E173" s="86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Relatório financeiro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