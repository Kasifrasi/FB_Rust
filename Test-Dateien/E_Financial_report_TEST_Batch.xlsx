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cial Report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<sst xmlns="http://schemas.openxmlformats.org/spreadsheetml/2006/main" count="631" uniqueCount="612">
  <si>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</si>
  <si>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</si>
  <si>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</si>
  <si>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</si>
  <si>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</si>
  <si>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</si>
  <si>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</si>
  <si>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</si>
  <si>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</si>
  <si>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</si>
  <si>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</si>
  <si>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</si>
  <si>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</si>
  <si>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</si>
  <si>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</si>
  <si>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</si>
  <si>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</si>
  <si>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</si>
  <si>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</si>
  <si>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</si>
  <si>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</si>
  <si>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</si>
  <si>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</si>
  <si>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</si>
  <si>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</si>
  <si>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</si>
  <si>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</si>
  <si>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</si>
  <si>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</si>
  <si>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</si>
  <si>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</si>
  <si>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</si>
  <si>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</si>
  <si>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</si>
  <si>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</si>
  <si>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</si>
  <si>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</si>
  <si>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</si>
  <si>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</si>
  <si>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</si>
  <si>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</si>
  <si>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</si>
  <si>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</si>
  <si>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</si>
  <si>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</si>
  <si>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</si>
  <si>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</si>
  <si>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</si>
  <si>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</si>
  <si>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</si>
  <si>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</si>
  <si>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</si>
  <si>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</si>
  <si>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</si>
  <si>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</si>
  <si>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</si>
  <si>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</si>
  <si>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</si>
  <si>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</si>
  <si>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</si>
  <si>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</si>
  <si>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</si>
  <si>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</si>
  <si>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</si>
  <si>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</si>
  <si>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</si>
  <si>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</si>
  <si>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</si>
  <si>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</si>
  <si>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</si>
  <si>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</si>
  <si>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</si>
  <si>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</si>
  <si>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</si>
  <si>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</si>
  <si>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</si>
  <si>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</si>
  <si>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</si>
  <si>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</si>
  <si>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</si>
  <si>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</si>
  <si>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</si>
  <si>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</si>
  <si>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</si>
  <si>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</si>
  <si>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</si>
  <si>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</si>
  <si>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</si>
  <si>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</si>
  <si>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</si>
  <si>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</si>
  <si>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</si>
  <si>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</si>
  <si>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</si>
  <si>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</si>
  <si>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</si>
  <si>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</si>
  <si>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</si>
  <si>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</si>
  <si>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</si>
  <si>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</si>
  <si>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</si>
  <si>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</si>
  <si>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</si>
  <si>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</si>
  <si>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</si>
  <si>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</si>
  <si>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</si>
  <si>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</si>
  <si>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</si>
  <si>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</si>
  <si>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</si>
  <si>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</si>
  <si>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</si>
  <si>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</si>
  <si>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</si>
  <si>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</si>
  <si>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</si>
  <si>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</si>
  <si>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</si>
  <si>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</si>
  <si>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</si>
  <si>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</si>
  <si>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</si>
  <si>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</si>
  <si>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</si>
  <si>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</si>
  <si>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</si>
  <si>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</si>
  <si>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</si>
  <si>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</si>
  <si>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</si>
  <si>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</si>
  <si>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</si>
  <si>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</si>
  <si>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</si>
  <si>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</si>
  <si>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</si>
  <si>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</si>
  <si>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</si>
  <si>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</si>
  <si>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</si>
  <si>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</si>
  <si>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</si>
  <si>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</si>
  <si>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</si>
  <si>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</si>
  <si>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</si>
  <si>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</si>
  <si>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</si>
  <si>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</si>
  <si>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</si>
  <si>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</si>
  <si>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</si>
  <si>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</si>
  <si>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</si>
  <si>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</si>
  <si>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</si>
  <si>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</si>
  <si>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</si>
  <si>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</si>
  <si>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</si>
  <si>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</si>
  <si>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</si>
  <si>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</si>
  <si>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</si>
  <si>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</si>
  <si>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</si>
  <si>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</si>
  <si>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</si>
  <si>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</si>
  <si>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</si>
  <si>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</si>
  <si>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</si>
  <si>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</si>
  <si>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</si>
  <si>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</si>
  <si>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</si>
  <si>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</si>
  <si>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</si>
  <si>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</si>
  <si>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</si>
  <si>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</si>
  <si>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</si>
  <si>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</si>
  <si>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</si>
  <si>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</si>
  <si>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</si>
  <si>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</si>
  <si>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</si>
  <si>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</si>
  <si>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</si>
  <si>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</si>
  <si>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</si>
  <si>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</si>
  <si>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</si>
  <si>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</si>
  <si>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</si>
  <si>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</si>
  <si>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</si>
  <si>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</si>
  <si>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</si>
  <si>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</si>
  <si>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</si>
  <si>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</si>
  <si>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</si>
  <si>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</si>
  <si>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</si>
  <si>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</si>
  <si>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</si>
  <si>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</si>
  <si>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</si>
  <si>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</si>
  <si>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</si>
  <si>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</si>
  <si>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</si>
  <si>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</si>
  <si>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</si>
  <si>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</si>
  <si>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</si>
  <si>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</si>
  <si>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</si>
  <si>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</si>
  <si>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</si>
  <si>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</si>
  <si>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</si>
  <si>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</si>
  <si>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</si>
  <si>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</si>
  <si>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</si>
  <si>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</si>
  <si>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</si>
  <si>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</si>
  <si>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</si>
  <si>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</si>
  <si>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</si>
  <si>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</si>
  <si>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</si>
  <si>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</si>
  <si>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</si>
  <si>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</si>
  <si>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</si>
  <si>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</si>
  <si>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</si>
  <si>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</si>
  <si>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</si>
  <si>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</si>
  <si>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</si>
  <si>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</si>
  <si>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</si>
  <si>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</si>
  <si>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</si>
  <si>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</si>
  <si>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</si>
  <si>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</si>
  <si>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</si>
  <si>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</si>
  <si>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</si>
  <si>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</si>
  <si>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</si>
  <si>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</si>
  <si>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</si>
  <si>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</si>
  <si>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</si>
  <si>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</si>
  <si>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</si>
  <si>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</si>
  <si>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</si>
  <si>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</si>
  <si>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</si>
  <si>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</si>
  <si>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</si>
  <si>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</si>
  <si>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</si>
  <si>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</si>
  <si>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</si>
  <si>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</si>
  <si>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</si>
  <si>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</si>
  <si>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</si>
  <si>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</si>
  <si>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</si>
  <si>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</si>
  <si>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</si>
  <si>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</si>
  <si>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</si>
  <si>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</si>
  <si>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</si>
  <si>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</si>
  <si>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</si>
  <si>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</si>
  <si>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</si>
  <si>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</si>
  <si>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</si>
  <si>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</si>
  <si>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</si>
  <si>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</si>
  <si>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</si>
  <si>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</si>
  <si>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</si>
  <si>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</si>
  <si>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</si>
  <si>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</si>
  <si>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</si>
  <si>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</si>
  <si>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</si>
  <si>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</si>
  <si>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</si>
  <si>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</si>
  <si>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</si>
  <si>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</si>
  <si>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</si>
  <si>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</si>
  <si>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</si>
  <si>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</si>
  <si>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</si>
  <si>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</si>
  <si>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</si>
  <si>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</si>
  <si>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</si>
  <si>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</si>
  <si>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</si>
  <si>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</si>
  <si>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</si>
  <si>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</si>
  <si>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</si>
  <si>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</si>
  <si>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</si>
  <si>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</si>
  <si>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</si>
  <si>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</si>
  <si>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</si>
  <si>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</si>
  <si>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</si>
  <si>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</si>
  <si>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</si>
  <si>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</si>
  <si>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</si>
  <si>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</si>
  <si>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</si>
  <si>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</si>
  <si>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</si>
  <si>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</si>
  <si>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</si>
  <si>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</si>
  <si>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</si>
  <si>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</si>
  <si>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</si>
  <si>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</si>
  <si>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</si>
  <si>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</si>
  <si>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</si>
  <si>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</si>
  <si>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</si>
  <si>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</si>
  <si>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</si>
  <si>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</si>
  <si>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</si>
  <si>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</si>
  <si>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</si>
  <si>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</si>
  <si>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</si>
  <si>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</si>
  <si>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</si>
  <si>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</si>
  <si>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</si>
  <si>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</si>
  <si>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</si>
  <si>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</si>
  <si>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</si>
  <si>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</si>
  <si>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</si>
  <si>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</si>
  <si>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</si>
  <si>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</si>
  <si>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</si>
  <si>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</si>
  <si>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</si>
  <si>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</si>
  <si>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</si>
  <si>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</si>
  <si>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</si>
  <si>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</si>
  <si>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</si>
  <si>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</si>
  <si>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</si>
  <si>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</si>
  <si>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</si>
  <si>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</si>
  <si>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</si>
  <si>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</si>
  <si>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</si>
  <si>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</si>
  <si>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</si>
  <si>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</si>
  <si>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</si>
  <si>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</si>
  <si>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</si>
  <si>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</si>
  <si>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</si>
  <si>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</si>
  <si>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</si>
  <si>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</si>
  <si>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</si>
  <si>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</si>
  <si>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</si>
  <si>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</si>
  <si>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</si>
  <si>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</si>
  <si>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</si>
  <si>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</si>
  <si>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</si>
  <si>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</si>
  <si>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</si>
  <si>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</si>
  <si>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</si>
  <si>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</si>
  <si>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</si>
  <si>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</si>
  <si>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</si>
  <si>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</si>
  <si>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</si>
  <si>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</si>
  <si>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</si>
  <si>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</si>
  <si>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</si>
  <si>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</si>
  <si>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</si>
  <si>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</si>
  <si>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</si>
  <si>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</si>
  <si>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</si>
  <si>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</si>
  <si>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</si>
  <si>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</si>
  <si>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</si>
  <si>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</si>
  <si>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</si>
  <si>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</si>
  <si>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</si>
  <si>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</si>
  <si>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</si>
  <si>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</si>
  <si>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</si>
  <si>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</si>
  <si>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</si>
  <si>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_en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</si>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</sst>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9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6" fillId="5" borderId="29" xfId="0" applyFont="1" applyFill="1" applyBorder="1"/>
    <xf numFmtId="0" fontId="6" fillId="5" borderId="21" xfId="0" applyFont="1" applyFill="1" applyBorder="1"/>
    <xf numFmtId="165" fontId="6" fillId="5" borderId="21" xfId="0" applyNumberFormat="1" applyFont="1" applyFill="1" applyBorder="1" applyAlignment="1">
      <alignment horizontal="right"/>
    </xf>
    <xf numFmtId="167" fontId="6" fillId="5" borderId="21" xfId="0" applyNumberFormat="1" applyFont="1" applyFill="1" applyBorder="1" applyAlignment="1">
      <alignment horizontal="right"/>
    </xf>
    <xf numFmtId="0" fontId="6" fillId="5" borderId="23" xfId="0" applyFont="1" applyFill="1" applyBorder="1"/>
    <xf numFmtId="0" fontId="5" fillId="6" borderId="21" xfId="0" applyFont="1" applyFill="1" applyBorder="1" applyAlignment="1">
      <alignment horizontal="left" vertical="center"/>
    </xf>
    <xf numFmtId="0" fontId="7" fillId="6" borderId="21" xfId="0" applyFont="1" applyFill="1" applyBorder="1" applyAlignment="1">
      <alignment horizontal="left" vertical="center"/>
    </xf>
    <xf numFmtId="0" fontId="6" fillId="5" borderId="30" xfId="0" applyFont="1" applyFill="1" applyBorder="1"/>
    <xf numFmtId="0" fontId="6" fillId="5" borderId="26" xfId="0" applyFont="1" applyFill="1" applyBorder="1"/>
    <xf numFmtId="165" fontId="6" fillId="5" borderId="26" xfId="0" applyNumberFormat="1" applyFont="1" applyFill="1" applyBorder="1" applyAlignment="1">
      <alignment horizontal="right"/>
    </xf>
    <xf numFmtId="167" fontId="6" fillId="5" borderId="26" xfId="0" applyNumberFormat="1" applyFont="1" applyFill="1" applyBorder="1" applyAlignment="1">
      <alignment horizontal="right"/>
    </xf>
    <xf numFmtId="0" fontId="6" fillId="5" borderId="27" xfId="0" applyFont="1" applyFill="1" applyBorder="1"/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64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71" t="str">
        <f>IFERROR(INDEX($F$1:$F$1001,ROW())/INDEX($D$1:$D$1001,ROW()),0)</f>
        <v/>
      </c>
      <c r="H48" s="72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71" t="str">
        <f>IFERROR(INDEX($F$1:$F$1001,ROW())/INDEX($D$1:$D$1001,ROW()),0)</f>
        <v/>
      </c>
      <c r="H70" s="72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71" t="str">
        <f>IFERROR(INDEX($F$1:$F$1001,ROW())/INDEX($D$1:$D$1001,ROW()),0)</f>
        <v/>
      </c>
      <c r="H102" s="72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71" t="str">
        <f>IFERROR(INDEX($F$1:$F$1001,ROW())/INDEX($D$1:$D$1001,ROW()),0)</f>
        <v/>
      </c>
      <c r="H134" s="72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71" t="str">
        <f>IFERROR(INDEX($F$1:$F$1001,ROW())/INDEX($D$1:$D$1001,ROW()),0)</f>
        <v/>
      </c>
      <c r="H156" s="72"/>
    </row>
    <row r="157" spans="2:8">
      <c r="B157" s="56" t="s">
        <v>609</v>
      </c>
      <c r="C157" s="73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3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4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5" t="str">
        <f>IF($E$2="","",VLOOKUP($E$2,Sprachversionen!$B:$BN,42,FALSE))</f>
        <v/>
      </c>
      <c r="C160" s="76"/>
      <c r="D160" s="77" t="str">
        <f>SUM(D48+D70+D102+D134+D156+D157+D158+D159)</f>
        <v/>
      </c>
      <c r="E160" s="77" t="str">
        <f>SUM(E48+E70+E102+E134+E156+E157+E158+E159)</f>
        <v/>
      </c>
      <c r="F160" s="77" t="str">
        <f>SUM(F48+F70+F102+F134+F156+F157+F158+F159)</f>
        <v/>
      </c>
      <c r="G160" s="78" t="str">
        <f>IFERROR(INDEX($F$1:$F$1001,ROW())/INDEX($D$1:$D$1001,ROW()),0)</f>
        <v/>
      </c>
      <c r="H160" s="79"/>
    </row>
    <row r="164" spans="2:5">
      <c r="E164" s="81" t="str">
        <f>IF($E$2="","",VLOOKUP($E$2,Sprachversionen!$B:$BN,44,FALSE))</f>
        <v/>
      </c>
    </row>
    <row r="165" spans="2:5">
      <c r="B165" s="80" t="str">
        <f>IF($E$2="","",VLOOKUP($E$2,Sprachversionen!$B:$BN,43,FALSE))</f>
        <v/>
      </c>
      <c r="C165" s="80"/>
      <c r="D165" s="80"/>
      <c r="E165" s="81"/>
    </row>
    <row r="166" spans="2:5">
      <c r="B166" s="6"/>
      <c r="C166" s="6"/>
      <c r="D166" s="82"/>
      <c r="E166" s="82" t="str">
        <f>B13</f>
        <v/>
      </c>
    </row>
    <row r="168" spans="2:5">
      <c r="B168" s="57" t="str">
        <f>IF($E$2="","",VLOOKUP($E$2,Sprachversionen!$B:$BN,45,FALSE))</f>
        <v/>
      </c>
      <c r="C168" s="57"/>
      <c r="D168" s="83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4" t="str">
        <f>IF(E168=SUM(E170:E172);"OK";"")</f>
        <v/>
      </c>
    </row>
    <row r="171" spans="2:5">
      <c r="B171" s="85" t="str">
        <f>IF($E$2="","",VLOOKUP($E$2,Sprachversionen!$B:$BN,47,FALSE))</f>
        <v/>
      </c>
      <c r="C171" s="85"/>
      <c r="D171" s="85"/>
      <c r="E171" s="65"/>
    </row>
    <row r="172" spans="2:5">
      <c r="B172" s="85" t="str">
        <f>IF($E$2="","",VLOOKUP($E$2,Sprachversionen!$B:$BN,48,FALSE))</f>
        <v/>
      </c>
      <c r="C172" s="85"/>
      <c r="D172" s="85"/>
      <c r="E172" s="65"/>
    </row>
    <row r="173" spans="2:5">
      <c r="B173" s="85" t="str">
        <f>IF($E$2="","",VLOOKUP($E$2,Sprachversionen!$B:$BN,49,FALSE))</f>
        <v/>
      </c>
      <c r="C173" s="85"/>
      <c r="D173" s="85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6" t="str">
        <f>IF($E$2="","",VLOOKUP($E$2,Sprachversionen!$B:$BN,51,FALSE))</f>
        <v/>
      </c>
      <c r="C183" s="6"/>
      <c r="D183" s="86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Financial Report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2026-01-18T21:55:26Z</dcterms:created>
  <dcterms:modified xsi:type="dcterms:W3CDTF">2026-01-18T21:55:26Z</dcterms:modified>
</cp:coreProperties>
</file>