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cial Report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<sst xmlns="http://schemas.openxmlformats.org/spreadsheetml/2006/main" count="631" uniqueCount="612">
  <si>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</si>
  <si>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</si>
  <si>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</si>
  <si>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</si>
  <si>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</si>
  <si>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</si>
  <si>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</si>
  <si>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</si>
  <si>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</si>
  <si>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</si>
  <si>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</si>
  <si>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</si>
  <si>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</si>
  <si>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</si>
  <si>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</si>
  <si>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</si>
  <si>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</si>
  <si>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</si>
  <si>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</si>
  <si>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</si>
  <si>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</si>
  <si>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</si>
  <si>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</si>
  <si>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</si>
  <si>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</si>
  <si>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</si>
  <si>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</si>
  <si>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</si>
  <si>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</si>
  <si>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</si>
  <si>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</si>
  <si>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</si>
  <si>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</si>
  <si>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</si>
  <si>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</si>
  <si>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</si>
  <si>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</si>
  <si>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</si>
  <si>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</si>
  <si>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</si>
  <si>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</si>
  <si>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</si>
  <si>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</si>
  <si>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</si>
  <si>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</si>
  <si>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</si>
  <si>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</si>
  <si>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</si>
  <si>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</si>
  <si>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</si>
  <si>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</si>
  <si>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</si>
  <si>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</si>
  <si>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</si>
  <si>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</si>
  <si>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</si>
  <si>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</si>
  <si>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</si>
  <si>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</si>
  <si>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</si>
  <si>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</si>
  <si>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</si>
  <si>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</si>
  <si>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</si>
  <si>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</si>
  <si>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</si>
  <si>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</si>
  <si>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</si>
  <si>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</si>
  <si>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</si>
  <si>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</si>
  <si>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</si>
  <si>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</si>
  <si>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</si>
  <si>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</si>
  <si>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</si>
  <si>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</si>
  <si>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</si>
  <si>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</si>
  <si>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</si>
  <si>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</si>
  <si>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</si>
  <si>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</si>
  <si>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</si>
  <si>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</si>
  <si>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</si>
  <si>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</si>
  <si>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</si>
  <si>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</si>
  <si>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</si>
  <si>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</si>
  <si>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</si>
  <si>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</si>
  <si>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</si>
  <si>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</si>
  <si>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</si>
  <si>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</si>
  <si>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</si>
  <si>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</si>
  <si>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</si>
  <si>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</si>
  <si>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</si>
  <si>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</si>
  <si>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</si>
  <si>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</si>
  <si>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</si>
  <si>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</si>
  <si>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</si>
  <si>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</si>
  <si>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</si>
  <si>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</si>
  <si>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</si>
  <si>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</si>
  <si>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</si>
  <si>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</si>
  <si>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</si>
  <si>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</si>
  <si>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</si>
  <si>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</si>
  <si>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</si>
  <si>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</si>
  <si>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</si>
  <si>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</si>
  <si>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</si>
  <si>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</si>
  <si>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</si>
  <si>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</si>
  <si>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</si>
  <si>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</si>
  <si>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</si>
  <si>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</si>
  <si>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</si>
  <si>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</si>
  <si>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</si>
  <si>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</si>
  <si>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</si>
  <si>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</si>
  <si>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</si>
  <si>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</si>
  <si>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</si>
  <si>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</si>
  <si>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</si>
  <si>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</si>
  <si>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</si>
  <si>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</si>
  <si>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</si>
  <si>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</si>
  <si>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</si>
  <si>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</si>
  <si>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</si>
  <si>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</si>
  <si>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</si>
  <si>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</si>
  <si>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</si>
  <si>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</si>
  <si>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</si>
  <si>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</si>
  <si>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</si>
  <si>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</si>
  <si>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</si>
  <si>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</si>
  <si>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</si>
  <si>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</si>
  <si>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</si>
  <si>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</si>
  <si>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</si>
  <si>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</si>
  <si>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</si>
  <si>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</si>
  <si>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</si>
  <si>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</si>
  <si>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</si>
  <si>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</si>
  <si>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</si>
  <si>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</si>
  <si>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</si>
  <si>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</si>
  <si>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</si>
  <si>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</si>
  <si>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</si>
  <si>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</si>
  <si>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</si>
  <si>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</si>
  <si>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</si>
  <si>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</si>
  <si>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</si>
  <si>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</si>
  <si>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</si>
  <si>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</si>
  <si>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</si>
  <si>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</si>
  <si>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</si>
  <si>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</si>
  <si>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</si>
  <si>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</si>
  <si>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</si>
  <si>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</si>
  <si>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</si>
  <si>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</si>
  <si>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</si>
  <si>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</si>
  <si>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</si>
  <si>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</si>
  <si>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</si>
  <si>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</si>
  <si>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</si>
  <si>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</si>
  <si>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</si>
  <si>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</si>
  <si>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</si>
  <si>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</si>
  <si>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</si>
  <si>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</si>
  <si>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</si>
  <si>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</si>
  <si>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</si>
  <si>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</si>
  <si>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</si>
  <si>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</si>
  <si>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</si>
  <si>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</si>
  <si>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</si>
  <si>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</si>
  <si>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</si>
  <si>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</si>
  <si>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</si>
  <si>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</si>
  <si>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</si>
  <si>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</si>
  <si>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</si>
  <si>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</si>
  <si>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</si>
  <si>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</si>
  <si>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</si>
  <si>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</si>
  <si>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</si>
  <si>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</si>
  <si>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</si>
  <si>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</si>
  <si>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</si>
  <si>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</si>
  <si>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</si>
  <si>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</si>
  <si>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</si>
  <si>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</si>
  <si>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</si>
  <si>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</si>
  <si>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</si>
  <si>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</si>
  <si>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</si>
  <si>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</si>
  <si>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</si>
  <si>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</si>
  <si>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</si>
  <si>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</si>
  <si>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</si>
  <si>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</si>
  <si>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</si>
  <si>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</si>
  <si>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</si>
  <si>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</si>
  <si>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</si>
  <si>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</si>
  <si>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</si>
  <si>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</si>
  <si>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</si>
  <si>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</si>
  <si>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</si>
  <si>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</si>
  <si>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</si>
  <si>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</si>
  <si>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</si>
  <si>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</si>
  <si>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</si>
  <si>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</si>
  <si>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</si>
  <si>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</si>
  <si>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</si>
  <si>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</si>
  <si>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</si>
  <si>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</si>
  <si>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</si>
  <si>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</si>
  <si>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</si>
  <si>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</si>
  <si>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</si>
  <si>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</si>
  <si>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</si>
  <si>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</si>
  <si>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</si>
  <si>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</si>
  <si>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</si>
  <si>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</si>
  <si>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</si>
  <si>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</si>
  <si>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</si>
  <si>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</si>
  <si>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</si>
  <si>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</si>
  <si>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</si>
  <si>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</si>
  <si>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</si>
  <si>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</si>
  <si>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</si>
  <si>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</si>
  <si>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</si>
  <si>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</si>
  <si>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</si>
  <si>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</si>
  <si>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</si>
  <si>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</si>
  <si>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</si>
  <si>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</si>
  <si>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</si>
  <si>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</si>
  <si>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</si>
  <si>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</si>
  <si>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</si>
  <si>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</si>
  <si>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</si>
  <si>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</si>
  <si>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</si>
  <si>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</si>
  <si>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</si>
  <si>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</si>
  <si>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</si>
  <si>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</si>
  <si>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</si>
  <si>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</si>
  <si>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</si>
  <si>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</si>
  <si>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</si>
  <si>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</si>
  <si>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</si>
  <si>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</si>
  <si>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</si>
  <si>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</si>
  <si>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</si>
  <si>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</si>
  <si>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</si>
  <si>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</si>
  <si>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</si>
  <si>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</si>
  <si>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</si>
  <si>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</si>
  <si>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</si>
  <si>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</si>
  <si>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</si>
  <si>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</si>
  <si>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</si>
  <si>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</si>
  <si>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</si>
  <si>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</si>
  <si>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</si>
  <si>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</si>
  <si>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</si>
  <si>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</si>
  <si>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</si>
  <si>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</si>
  <si>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</si>
  <si>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</si>
  <si>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</si>
  <si>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</si>
  <si>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</si>
  <si>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</si>
  <si>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</si>
  <si>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</si>
  <si>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</si>
  <si>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</si>
  <si>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</si>
  <si>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</si>
  <si>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</si>
  <si>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</si>
  <si>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</si>
  <si>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</si>
  <si>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</si>
  <si>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</si>
  <si>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</si>
  <si>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</si>
  <si>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</si>
  <si>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</si>
  <si>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</si>
  <si>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</si>
  <si>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</si>
  <si>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</si>
  <si>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</si>
  <si>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</si>
  <si>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</si>
  <si>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</si>
  <si>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</si>
  <si>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</si>
  <si>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</si>
  <si>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</si>
  <si>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</si>
  <si>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</si>
  <si>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</si>
  <si>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</si>
  <si>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</si>
  <si>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</si>
  <si>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</si>
  <si>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</si>
  <si>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</si>
  <si>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</si>
  <si>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</si>
  <si>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</si>
  <si>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</si>
  <si>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</si>
  <si>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</si>
  <si>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</si>
  <si>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</si>
  <si>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</si>
  <si>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</si>
  <si>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</si>
  <si>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</si>
  <si>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</si>
  <si>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</si>
  <si>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</si>
  <si>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</si>
  <si>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</si>
  <si>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</si>
  <si>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</si>
  <si>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</si>
  <si>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</si>
  <si>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</si>
  <si>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</si>
  <si>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</si>
  <si>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</si>
  <si>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</si>
  <si>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</si>
  <si>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</si>
  <si>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</si>
  <si>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</si>
  <si>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</si>
  <si>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</si>
  <si>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</si>
  <si>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</si>
  <si>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</si>
  <si>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</si>
  <si>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</si>
  <si>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</si>
  <si>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</si>
  <si>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</si>
  <si>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</si>
  <si>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</si>
  <si>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</si>
  <si>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</si>
  <si>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_en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</si>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</sst>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1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64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1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1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1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1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1"/>
    </row>
    <row r="157" spans="2:8">
      <c r="B157" s="56" t="s">
        <v>609</v>
      </c>
      <c r="C157" s="72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2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3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66" t="str">
        <f>IFERROR(INDEX($F$1:$F$1001,ROW())/INDEX($D$1:$D$1001,ROW()),0)</f>
        <v/>
      </c>
      <c r="H160" s="77"/>
    </row>
    <row r="164" spans="2:5">
      <c r="E164" s="79" t="str">
        <f>IF($E$2="","",VLOOKUP($E$2,Sprachversionen!$B:$BN,44,FALSE))</f>
        <v/>
      </c>
    </row>
    <row r="165" spans="2:5">
      <c r="B165" s="78" t="str">
        <f>IF($E$2="","",VLOOKUP($E$2,Sprachversionen!$B:$BN,43,FALSE))</f>
        <v/>
      </c>
      <c r="C165" s="78"/>
      <c r="D165" s="78"/>
      <c r="E165" s="79"/>
    </row>
    <row r="166" spans="2:5">
      <c r="B166" s="6"/>
      <c r="C166" s="6"/>
      <c r="D166" s="80"/>
      <c r="E166" s="80" t="str">
        <f>B13</f>
        <v/>
      </c>
    </row>
    <row r="168" spans="2:5">
      <c r="B168" s="57" t="str">
        <f>IF($E$2="","",VLOOKUP($E$2,Sprachversionen!$B:$BN,45,FALSE))</f>
        <v/>
      </c>
      <c r="C168" s="57"/>
      <c r="D168" s="81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2" t="str">
        <f>IF(E168=SUM(E170:E172);"OK";"")</f>
        <v/>
      </c>
    </row>
    <row r="171" spans="2:5">
      <c r="B171" s="83" t="str">
        <f>IF($E$2="","",VLOOKUP($E$2,Sprachversionen!$B:$BN,47,FALSE))</f>
        <v/>
      </c>
      <c r="C171" s="83"/>
      <c r="D171" s="83"/>
      <c r="E171" s="65"/>
    </row>
    <row r="172" spans="2:5">
      <c r="B172" s="83" t="str">
        <f>IF($E$2="","",VLOOKUP($E$2,Sprachversionen!$B:$BN,48,FALSE))</f>
        <v/>
      </c>
      <c r="C172" s="83"/>
      <c r="D172" s="83"/>
      <c r="E172" s="65"/>
    </row>
    <row r="173" spans="2:5">
      <c r="B173" s="83" t="str">
        <f>IF($E$2="","",VLOOKUP($E$2,Sprachversionen!$B:$BN,49,FALSE))</f>
        <v/>
      </c>
      <c r="C173" s="83"/>
      <c r="D173" s="83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Financial 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2026-01-18T21:35:19Z</dcterms:created>
  <dcterms:modified xsi:type="dcterms:W3CDTF">2026-01-18T21:35:19Z</dcterms:modified>
</cp:coreProperties>
</file>