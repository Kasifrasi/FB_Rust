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forme financiero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<sst xmlns="http://schemas.openxmlformats.org/spreadsheetml/2006/main" count="631" uniqueCount="612">
  <si>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_es</t>
  </si>
  <si>
    <t>español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</si>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</sst>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4"/>
      <c r="C14" s="35"/>
      <c r="D14" s="22"/>
      <c r="E14" s="23"/>
      <c r="F14" s="22"/>
      <c r="G14" s="22"/>
      <c r="H14" s="24"/>
      <c r="J14" s="36" t="s">
        <v>3</v>
      </c>
      <c r="K14" s="37">
        <f>IF($E$2="","",VLOOKUP($E$2,Sprachversionen!$B:$BN,23,FALSE))</f>
        <v>0</v>
      </c>
      <c r="L14" s="38"/>
      <c r="M14" s="39"/>
      <c r="N14" s="39"/>
      <c r="O14" s="40">
        <f>IFERROR(INDEX($N$1:$N$31,ROW())/INDEX($M$1:$M$31,ROW()),"")</f>
        <v>0</v>
      </c>
      <c r="Q14" s="36" t="s">
        <v>4</v>
      </c>
      <c r="R14" s="37">
        <f>IF($E$2="","",VLOOKUP($E$2,Sprachversionen!$B:$BN,23,FALSE))</f>
        <v>0</v>
      </c>
      <c r="S14" s="38"/>
      <c r="T14" s="39"/>
      <c r="U14" s="39"/>
      <c r="V14" s="40">
        <f>IFERROR(INDEX($U$1:$U$31,ROW())/INDEX($T$1:$T$31,ROW()),"")</f>
        <v>0</v>
      </c>
    </row>
    <row r="15" spans="2:22">
      <c r="B15" s="41">
        <f>IF($E$2="","",VLOOKUP($E$2,Sprachversionen!$B:$BN,16,FALSE))</f>
        <v>0</v>
      </c>
      <c r="C15" s="41"/>
      <c r="D15" s="42"/>
      <c r="E15" s="43"/>
      <c r="F15" s="43"/>
      <c r="G15" s="44"/>
      <c r="H15" s="45"/>
      <c r="J15" s="36" t="s">
        <v>5</v>
      </c>
      <c r="K15" s="37">
        <f>IF($E$2="","",VLOOKUP($E$2,Sprachversionen!$B:$BN,23,FALSE))</f>
        <v>0</v>
      </c>
      <c r="L15" s="38"/>
      <c r="M15" s="39"/>
      <c r="N15" s="39"/>
      <c r="O15" s="40">
        <f>IFERROR(INDEX($N$1:$N$31,ROW())/INDEX($M$1:$M$31,ROW()),"")</f>
        <v>0</v>
      </c>
      <c r="Q15" s="36" t="s">
        <v>6</v>
      </c>
      <c r="R15" s="37">
        <f>IF($E$2="","",VLOOKUP($E$2,Sprachversionen!$B:$BN,23,FALSE))</f>
        <v>0</v>
      </c>
      <c r="S15" s="38"/>
      <c r="T15" s="39"/>
      <c r="U15" s="39"/>
      <c r="V15" s="40">
        <f>IFERROR(INDEX($U$1:$U$31,ROW())/INDEX($T$1:$T$31,ROW()),"")</f>
        <v>0</v>
      </c>
    </row>
    <row r="16" spans="2:22" ht="12.75" customHeight="1">
      <c r="B16" s="46">
        <f>IF($E$2="","",VLOOKUP($E$2,Sprachversionen!$B:$BN,17,FALSE))</f>
        <v>0</v>
      </c>
      <c r="C16" s="46"/>
      <c r="D16" s="42">
        <v>0</v>
      </c>
      <c r="E16" s="43"/>
      <c r="F16" s="43"/>
      <c r="G16" s="47">
        <f>IFERROR(INDEX($F$1:$F$1001,ROW())/INDEX($D$1:$D$1001,ROW()),0)</f>
        <v>0</v>
      </c>
      <c r="H16" s="45"/>
      <c r="J16" s="36" t="s">
        <v>7</v>
      </c>
      <c r="K16" s="37">
        <f>IF($E$2="","",VLOOKUP($E$2,Sprachversionen!$B:$BN,23,FALSE))</f>
        <v>0</v>
      </c>
      <c r="L16" s="38"/>
      <c r="M16" s="39"/>
      <c r="N16" s="39"/>
      <c r="O16" s="40">
        <f>IFERROR(INDEX($N$1:$N$31,ROW())/INDEX($M$1:$M$31,ROW()),"")</f>
        <v>0</v>
      </c>
      <c r="Q16" s="36" t="s">
        <v>8</v>
      </c>
      <c r="R16" s="37">
        <f>IF($E$2="","",VLOOKUP($E$2,Sprachversionen!$B:$BN,23,FALSE))</f>
        <v>0</v>
      </c>
      <c r="S16" s="38"/>
      <c r="T16" s="39"/>
      <c r="U16" s="39"/>
      <c r="V16" s="40">
        <f>IFERROR(INDEX($U$1:$U$31,ROW())/INDEX($T$1:$T$31,ROW()),"")</f>
        <v>0</v>
      </c>
    </row>
    <row r="17" spans="2:22" ht="12.75" customHeight="1">
      <c r="B17" s="46">
        <f>IF($E$2="","",VLOOKUP($E$2,Sprachversionen!$B:$BN,18,FALSE))</f>
        <v>0</v>
      </c>
      <c r="C17" s="46"/>
      <c r="D17" s="42">
        <v>0</v>
      </c>
      <c r="E17" s="43"/>
      <c r="F17" s="43"/>
      <c r="G17" s="47">
        <f>IFERROR(INDEX($F$1:$F$1001,ROW())/INDEX($D$1:$D$1001,ROW()),0)</f>
        <v>0</v>
      </c>
      <c r="H17" s="45"/>
      <c r="J17" s="36" t="s">
        <v>9</v>
      </c>
      <c r="K17" s="37">
        <f>IF($E$2="","",VLOOKUP($E$2,Sprachversionen!$B:$BN,23,FALSE))</f>
        <v>0</v>
      </c>
      <c r="L17" s="38"/>
      <c r="M17" s="39"/>
      <c r="N17" s="39"/>
      <c r="O17" s="40">
        <f>IFERROR(INDEX($N$1:$N$31,ROW())/INDEX($M$1:$M$31,ROW()),"")</f>
        <v>0</v>
      </c>
      <c r="Q17" s="36" t="s">
        <v>10</v>
      </c>
      <c r="R17" s="37">
        <f>IF($E$2="","",VLOOKUP($E$2,Sprachversionen!$B:$BN,23,FALSE))</f>
        <v>0</v>
      </c>
      <c r="S17" s="38"/>
      <c r="T17" s="39"/>
      <c r="U17" s="39"/>
      <c r="V17" s="40">
        <f>IFERROR(INDEX($U$1:$U$31,ROW())/INDEX($T$1:$T$31,ROW()),"")</f>
        <v>0</v>
      </c>
    </row>
    <row r="18" spans="2:22" ht="12.75" customHeight="1">
      <c r="B18" s="46">
        <f>IF($E$2="","",VLOOKUP($E$2,Sprachversionen!$B:$BN,19,FALSE))</f>
        <v>0</v>
      </c>
      <c r="C18" s="46"/>
      <c r="D18" s="42">
        <v>0</v>
      </c>
      <c r="E18" s="43"/>
      <c r="F18" s="43"/>
      <c r="G18" s="47">
        <f>IFERROR(INDEX($F$1:$F$1001,ROW())/INDEX($D$1:$D$1001,ROW()),0)</f>
        <v>0</v>
      </c>
      <c r="H18" s="45"/>
      <c r="J18" s="36" t="s">
        <v>11</v>
      </c>
      <c r="K18" s="37">
        <f>IF($E$2="","",VLOOKUP($E$2,Sprachversionen!$B:$BN,23,FALSE))</f>
        <v>0</v>
      </c>
      <c r="L18" s="38"/>
      <c r="M18" s="39"/>
      <c r="N18" s="39"/>
      <c r="O18" s="40">
        <f>IFERROR(INDEX($N$1:$N$31,ROW())/INDEX($M$1:$M$31,ROW()),"")</f>
        <v>0</v>
      </c>
      <c r="Q18" s="36" t="s">
        <v>12</v>
      </c>
      <c r="R18" s="37">
        <f>IF($E$2="","",VLOOKUP($E$2,Sprachversionen!$B:$BN,23,FALSE))</f>
        <v>0</v>
      </c>
      <c r="S18" s="38"/>
      <c r="T18" s="39"/>
      <c r="U18" s="39"/>
      <c r="V18" s="40">
        <f>IFERROR(INDEX($U$1:$U$31,ROW())/INDEX($T$1:$T$31,ROW()),"")</f>
        <v>0</v>
      </c>
    </row>
    <row r="19" spans="2:22" ht="12.75" customHeight="1">
      <c r="B19" s="48">
        <f>IF($E$2="","",VLOOKUP($E$2,Sprachversionen!$B:$BN,20,FALSE))</f>
        <v>0</v>
      </c>
      <c r="C19" s="48"/>
      <c r="D19" s="42">
        <v>0</v>
      </c>
      <c r="E19" s="43"/>
      <c r="F19" s="43"/>
      <c r="G19" s="47">
        <f>IFERROR(INDEX($F$1:$F$1001,ROW())/INDEX($D$1:$D$1001,ROW()),0)</f>
        <v>0</v>
      </c>
      <c r="H19" s="45"/>
      <c r="J19" s="36" t="s">
        <v>13</v>
      </c>
      <c r="K19" s="37">
        <f>IF($E$2="","",VLOOKUP($E$2,Sprachversionen!$B:$BN,23,FALSE))</f>
        <v>0</v>
      </c>
      <c r="L19" s="38"/>
      <c r="M19" s="39"/>
      <c r="N19" s="39"/>
      <c r="O19" s="40">
        <f>IFERROR(INDEX($N$1:$N$31,ROW())/INDEX($M$1:$M$31,ROW()),"")</f>
        <v>0</v>
      </c>
      <c r="Q19" s="36" t="s">
        <v>14</v>
      </c>
      <c r="R19" s="37">
        <f>IF($E$2="","",VLOOKUP($E$2,Sprachversionen!$B:$BN,23,FALSE))</f>
        <v>0</v>
      </c>
      <c r="S19" s="38"/>
      <c r="T19" s="39"/>
      <c r="U19" s="39"/>
      <c r="V19" s="40">
        <f>IFERROR(INDEX($U$1:$U$31,ROW())/INDEX($T$1:$T$31,ROW()),"")</f>
        <v>0</v>
      </c>
    </row>
    <row r="20" spans="2:22" ht="12.75" customHeight="1">
      <c r="B20" s="49">
        <f>IF($E$2="","",VLOOKUP($E$2,Sprachversionen!$B:$BN,21,FALSE))</f>
        <v>0</v>
      </c>
      <c r="C20" s="49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52"/>
      <c r="J20" s="36" t="s">
        <v>15</v>
      </c>
      <c r="K20" s="37">
        <f>IF($E$2="","",VLOOKUP($E$2,Sprachversionen!$B:$BN,23,FALSE))</f>
        <v>0</v>
      </c>
      <c r="L20" s="38"/>
      <c r="M20" s="39"/>
      <c r="N20" s="39"/>
      <c r="O20" s="40">
        <f>IFERROR(INDEX($N$1:$N$31,ROW())/INDEX($M$1:$M$31,ROW()),"")</f>
        <v>0</v>
      </c>
      <c r="Q20" s="36" t="s">
        <v>16</v>
      </c>
      <c r="R20" s="37">
        <f>IF($E$2="","",VLOOKUP($E$2,Sprachversionen!$B:$BN,23,FALSE))</f>
        <v>0</v>
      </c>
      <c r="S20" s="38"/>
      <c r="T20" s="39"/>
      <c r="U20" s="39"/>
      <c r="V20" s="40">
        <f>IFERROR(INDEX($U$1:$U$31,ROW())/INDEX($T$1:$T$31,ROW()),"")</f>
        <v>0</v>
      </c>
    </row>
    <row r="21" spans="2:22" ht="13.5" customHeight="1">
      <c r="J21" s="36" t="s">
        <v>17</v>
      </c>
      <c r="K21" s="37">
        <f>IF($E$2="","",VLOOKUP($E$2,Sprachversionen!$B:$BN,23,FALSE))</f>
        <v>0</v>
      </c>
      <c r="L21" s="38"/>
      <c r="M21" s="39"/>
      <c r="N21" s="39"/>
      <c r="O21" s="40">
        <f>IFERROR(INDEX($N$1:$N$31,ROW())/INDEX($M$1:$M$31,ROW()),"")</f>
        <v>0</v>
      </c>
      <c r="Q21" s="36" t="s">
        <v>18</v>
      </c>
      <c r="R21" s="37">
        <f>IF($E$2="","",VLOOKUP($E$2,Sprachversionen!$B:$BN,23,FALSE))</f>
        <v>0</v>
      </c>
      <c r="S21" s="38"/>
      <c r="T21" s="39"/>
      <c r="U21" s="39"/>
      <c r="V21" s="40">
        <f>IFERROR(INDEX($U$1:$U$31,ROW())/INDEX($T$1:$T$31,ROW()),"")</f>
        <v>0</v>
      </c>
    </row>
    <row r="22" spans="2:22">
      <c r="J22" s="36" t="s">
        <v>19</v>
      </c>
      <c r="K22" s="37">
        <f>IF($E$2="","",VLOOKUP($E$2,Sprachversionen!$B:$BN,23,FALSE))</f>
        <v>0</v>
      </c>
      <c r="L22" s="38"/>
      <c r="M22" s="39"/>
      <c r="N22" s="39"/>
      <c r="O22" s="40">
        <f>IFERROR(INDEX($N$1:$N$31,ROW())/INDEX($M$1:$M$31,ROW()),"")</f>
        <v>0</v>
      </c>
      <c r="Q22" s="36" t="s">
        <v>20</v>
      </c>
      <c r="R22" s="37">
        <f>IF($E$2="","",VLOOKUP($E$2,Sprachversionen!$B:$BN,23,FALSE))</f>
        <v>0</v>
      </c>
      <c r="S22" s="38"/>
      <c r="T22" s="39"/>
      <c r="U22" s="39"/>
      <c r="V22" s="40">
        <f>IFERROR(INDEX($U$1:$U$31,ROW())/INDEX($T$1:$T$31,ROW()),"")</f>
        <v>0</v>
      </c>
    </row>
    <row r="23" spans="2:22" ht="13.5" customHeight="1">
      <c r="B23" s="20"/>
      <c r="C23" s="21"/>
      <c r="D23" s="22">
        <f>D11</f>
        <v>0</v>
      </c>
      <c r="E23" s="23">
        <f>IF($E$2="","",VLOOKUP($E$2,Sprachversionen!$B:$BN,25,FALSE))</f>
        <v>0</v>
      </c>
      <c r="F23" s="22">
        <f>IF($E$2="","",VLOOKUP($E$2,Sprachversionen!$B:$BN,55,FALSE))</f>
        <v>0</v>
      </c>
      <c r="G23" s="22">
        <f>IF($E$2="","",VLOOKUP($E$2,Sprachversionen!$B:$BN,56,FALSE))</f>
        <v>0</v>
      </c>
      <c r="H23" s="24">
        <f>H11</f>
        <v>0</v>
      </c>
      <c r="J23" s="36" t="s">
        <v>21</v>
      </c>
      <c r="K23" s="37">
        <f>IF($E$2="","",VLOOKUP($E$2,Sprachversionen!$B:$BN,23,FALSE))</f>
        <v>0</v>
      </c>
      <c r="L23" s="38"/>
      <c r="M23" s="39"/>
      <c r="N23" s="39"/>
      <c r="O23" s="40">
        <f>IFERROR(INDEX($N$1:$N$31,ROW())/INDEX($M$1:$M$31,ROW()),"")</f>
        <v>0</v>
      </c>
      <c r="Q23" s="36" t="s">
        <v>22</v>
      </c>
      <c r="R23" s="37">
        <f>IF($E$2="","",VLOOKUP($E$2,Sprachversionen!$B:$BN,23,FALSE))</f>
        <v>0</v>
      </c>
      <c r="S23" s="38"/>
      <c r="T23" s="39"/>
      <c r="U23" s="39"/>
      <c r="V23" s="40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22"/>
      <c r="E24" s="23"/>
      <c r="F24" s="22"/>
      <c r="G24" s="22"/>
      <c r="H24" s="24"/>
      <c r="J24" s="36" t="s">
        <v>23</v>
      </c>
      <c r="K24" s="37">
        <f>IF($E$2="","",VLOOKUP($E$2,Sprachversionen!$B:$BN,23,FALSE))</f>
        <v>0</v>
      </c>
      <c r="L24" s="38"/>
      <c r="M24" s="39"/>
      <c r="N24" s="39"/>
      <c r="O24" s="40">
        <f>IFERROR(INDEX($N$1:$N$31,ROW())/INDEX($M$1:$M$31,ROW()),"")</f>
        <v>0</v>
      </c>
      <c r="Q24" s="36" t="s">
        <v>24</v>
      </c>
      <c r="R24" s="37">
        <f>IF($E$2="","",VLOOKUP($E$2,Sprachversionen!$B:$BN,23,FALSE))</f>
        <v>0</v>
      </c>
      <c r="S24" s="38"/>
      <c r="T24" s="39"/>
      <c r="U24" s="39"/>
      <c r="V24" s="40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22"/>
      <c r="E25" s="23"/>
      <c r="F25" s="22"/>
      <c r="G25" s="22"/>
      <c r="H25" s="24"/>
      <c r="J25" s="36" t="s">
        <v>25</v>
      </c>
      <c r="K25" s="37">
        <f>IF($E$2="","",VLOOKUP($E$2,Sprachversionen!$B:$BN,23,FALSE))</f>
        <v>0</v>
      </c>
      <c r="L25" s="38"/>
      <c r="M25" s="39"/>
      <c r="N25" s="39"/>
      <c r="O25" s="40">
        <f>IFERROR(INDEX($N$1:$N$31,ROW())/INDEX($M$1:$M$31,ROW()),"")</f>
        <v>0</v>
      </c>
      <c r="Q25" s="36" t="s">
        <v>26</v>
      </c>
      <c r="R25" s="37">
        <f>IF($E$2="","",VLOOKUP($E$2,Sprachversionen!$B:$BN,23,FALSE))</f>
        <v>0</v>
      </c>
      <c r="S25" s="38"/>
      <c r="T25" s="39"/>
      <c r="U25" s="39"/>
      <c r="V25" s="40">
        <f>IFERROR(INDEX($U$1:$U$31,ROW())/INDEX($T$1:$T$31,ROW()),"")</f>
        <v>0</v>
      </c>
    </row>
    <row r="26" spans="2:22" ht="12.75" customHeight="1">
      <c r="B26" s="34"/>
      <c r="C26" s="35"/>
      <c r="D26" s="22"/>
      <c r="E26" s="23"/>
      <c r="F26" s="22"/>
      <c r="G26" s="22"/>
      <c r="H26" s="24"/>
      <c r="J26" s="36" t="s">
        <v>27</v>
      </c>
      <c r="K26" s="37">
        <f>IF($E$2="","",VLOOKUP($E$2,Sprachversionen!$B:$BN,23,FALSE))</f>
        <v>0</v>
      </c>
      <c r="L26" s="38"/>
      <c r="M26" s="39"/>
      <c r="N26" s="39"/>
      <c r="O26" s="40">
        <f>IFERROR(INDEX($N$1:$N$31,ROW())/INDEX($M$1:$M$31,ROW()),"")</f>
        <v>0</v>
      </c>
      <c r="Q26" s="36" t="s">
        <v>28</v>
      </c>
      <c r="R26" s="37">
        <f>IF($E$2="","",VLOOKUP($E$2,Sprachversionen!$B:$BN,23,FALSE))</f>
        <v>0</v>
      </c>
      <c r="S26" s="38"/>
      <c r="T26" s="39"/>
      <c r="U26" s="39"/>
      <c r="V26" s="40">
        <f>IFERROR(INDEX($U$1:$U$31,ROW())/INDEX($T$1:$T$31,ROW()),"")</f>
        <v>0</v>
      </c>
    </row>
    <row r="27" spans="2:22" ht="12.75" customHeight="1">
      <c r="B27" s="55" t="s">
        <v>29</v>
      </c>
      <c r="C27" s="56" t="str">
        <f>IF($E$2="","",VLOOKUP($E$2,Sprachversionen!$B:$BN,29,FALSE))</f>
        <v/>
      </c>
      <c r="D27" s="57"/>
      <c r="E27" s="57"/>
      <c r="F27" s="57"/>
      <c r="G27" s="58"/>
      <c r="H27" s="59"/>
      <c r="J27" s="36" t="s">
        <v>30</v>
      </c>
      <c r="K27" s="37">
        <f>IF($E$2="","",VLOOKUP($E$2,Sprachversionen!$B:$BN,23,FALSE))</f>
        <v>0</v>
      </c>
      <c r="L27" s="38"/>
      <c r="M27" s="39"/>
      <c r="N27" s="39"/>
      <c r="O27" s="40">
        <f>IFERROR(INDEX($N$1:$N$31,ROW())/INDEX($M$1:$M$31,ROW()),"")</f>
        <v>0</v>
      </c>
      <c r="Q27" s="36" t="s">
        <v>31</v>
      </c>
      <c r="R27" s="37">
        <f>IF($E$2="","",VLOOKUP($E$2,Sprachversionen!$B:$BN,23,FALSE))</f>
        <v>0</v>
      </c>
      <c r="S27" s="38"/>
      <c r="T27" s="39"/>
      <c r="U27" s="39"/>
      <c r="V27" s="40">
        <f>IFERROR(INDEX($U$1:$U$31,ROW())/INDEX($T$1:$T$31,ROW()),"")</f>
        <v>0</v>
      </c>
    </row>
    <row r="28" spans="2:22">
      <c r="B28" s="60" t="s">
        <v>32</v>
      </c>
      <c r="C28" s="61"/>
      <c r="D28" s="62"/>
      <c r="E28" s="63"/>
      <c r="F28" s="64"/>
      <c r="G28" s="65" t="str">
        <f>IFERROR(INDEX($F$1:$F$1001,ROW())/INDEX($D$1:$D$1001,ROW()),0)</f>
        <v/>
      </c>
      <c r="H28" s="66"/>
      <c r="J28" s="36" t="s">
        <v>33</v>
      </c>
      <c r="K28" s="37">
        <f>IF($E$2="","",VLOOKUP($E$2,Sprachversionen!$B:$BN,23,FALSE))</f>
        <v>0</v>
      </c>
      <c r="L28" s="38"/>
      <c r="M28" s="39"/>
      <c r="N28" s="39"/>
      <c r="O28" s="40">
        <f>IFERROR(INDEX($N$1:$N$31,ROW())/INDEX($M$1:$M$31,ROW()),"")</f>
        <v>0</v>
      </c>
      <c r="Q28" s="36" t="s">
        <v>34</v>
      </c>
      <c r="R28" s="37">
        <f>IF($E$2="","",VLOOKUP($E$2,Sprachversionen!$B:$BN,23,FALSE))</f>
        <v>0</v>
      </c>
      <c r="S28" s="38"/>
      <c r="T28" s="39"/>
      <c r="U28" s="39"/>
      <c r="V28" s="40">
        <f>IFERROR(INDEX($U$1:$U$31,ROW())/INDEX($T$1:$T$31,ROW()),"")</f>
        <v>0</v>
      </c>
    </row>
    <row r="29" spans="2:22">
      <c r="B29" s="60" t="s">
        <v>35</v>
      </c>
      <c r="C29" s="61"/>
      <c r="D29" s="62"/>
      <c r="E29" s="63"/>
      <c r="F29" s="64"/>
      <c r="G29" s="65" t="str">
        <f>IFERROR(INDEX($F$1:$F$1001,ROW())/INDEX($D$1:$D$1001,ROW()),0)</f>
        <v/>
      </c>
      <c r="H29" s="66"/>
      <c r="J29" s="36" t="s">
        <v>36</v>
      </c>
      <c r="K29" s="37">
        <f>IF($E$2="","",VLOOKUP($E$2,Sprachversionen!$B:$BN,23,FALSE))</f>
        <v>0</v>
      </c>
      <c r="L29" s="38"/>
      <c r="M29" s="39"/>
      <c r="N29" s="39"/>
      <c r="O29" s="40">
        <f>IFERROR(INDEX($N$1:$N$31,ROW())/INDEX($M$1:$M$31,ROW()),"")</f>
        <v>0</v>
      </c>
      <c r="Q29" s="36" t="s">
        <v>37</v>
      </c>
      <c r="R29" s="37">
        <f>IF($E$2="","",VLOOKUP($E$2,Sprachversionen!$B:$BN,23,FALSE))</f>
        <v>0</v>
      </c>
      <c r="S29" s="38"/>
      <c r="T29" s="39"/>
      <c r="U29" s="39"/>
      <c r="V29" s="40">
        <f>IFERROR(INDEX($U$1:$U$31,ROW())/INDEX($T$1:$T$31,ROW()),"")</f>
        <v>0</v>
      </c>
    </row>
    <row r="30" spans="2:22">
      <c r="B30" s="60" t="s">
        <v>38</v>
      </c>
      <c r="C30" s="61"/>
      <c r="D30" s="62"/>
      <c r="E30" s="63"/>
      <c r="F30" s="64"/>
      <c r="G30" s="65" t="str">
        <f>IFERROR(INDEX($F$1:$F$1001,ROW())/INDEX($D$1:$D$1001,ROW()),0)</f>
        <v/>
      </c>
      <c r="H30" s="66"/>
      <c r="J30" s="36" t="s">
        <v>39</v>
      </c>
      <c r="K30" s="37">
        <f>IF($E$2="","",VLOOKUP($E$2,Sprachversionen!$B:$BN,23,FALSE))</f>
        <v>0</v>
      </c>
      <c r="L30" s="38"/>
      <c r="M30" s="39"/>
      <c r="N30" s="39"/>
      <c r="O30" s="40">
        <f>IFERROR(INDEX($N$1:$N$31,ROW())/INDEX($M$1:$M$31,ROW()),"")</f>
        <v>0</v>
      </c>
      <c r="Q30" s="36" t="s">
        <v>40</v>
      </c>
      <c r="R30" s="37">
        <f>IF($E$2="","",VLOOKUP($E$2,Sprachversionen!$B:$BN,23,FALSE))</f>
        <v>0</v>
      </c>
      <c r="S30" s="38"/>
      <c r="T30" s="39"/>
      <c r="U30" s="39"/>
      <c r="V30" s="40">
        <f>IFERROR(INDEX($U$1:$U$31,ROW())/INDEX($T$1:$T$31,ROW()),"")</f>
        <v>0</v>
      </c>
    </row>
    <row r="31" spans="2:22">
      <c r="B31" s="60" t="s">
        <v>41</v>
      </c>
      <c r="C31" s="61"/>
      <c r="D31" s="62"/>
      <c r="E31" s="63"/>
      <c r="F31" s="64"/>
      <c r="G31" s="65" t="str">
        <f>IFERROR(INDEX($F$1:$F$1001,ROW())/INDEX($D$1:$D$1001,ROW()),0)</f>
        <v/>
      </c>
      <c r="H31" s="66"/>
      <c r="J31" s="53" t="s">
        <v>42</v>
      </c>
      <c r="K31" s="54">
        <f>IF($E$2="","",VLOOKUP($E$2,Sprachversionen!$B:$BN,23,FALSE))</f>
        <v>0</v>
      </c>
      <c r="L31" s="38"/>
      <c r="M31" s="39"/>
      <c r="N31" s="39"/>
      <c r="O31" s="40">
        <f>IFERROR(INDEX($N$1:$N$31,ROW())/INDEX($M$1:$M$31,ROW()),"")</f>
        <v>0</v>
      </c>
      <c r="Q31" s="53" t="s">
        <v>43</v>
      </c>
      <c r="R31" s="54">
        <f>IF($E$2="","",VLOOKUP($E$2,Sprachversionen!$B:$BN,23,FALSE))</f>
        <v>0</v>
      </c>
      <c r="S31" s="38"/>
      <c r="T31" s="39"/>
      <c r="U31" s="39"/>
      <c r="V31" s="40">
        <f>IFERROR(INDEX($U$1:$U$31,ROW())/INDEX($T$1:$T$31,ROW()),"")</f>
        <v>0</v>
      </c>
    </row>
    <row r="32" spans="2:22">
      <c r="B32" s="60" t="s">
        <v>44</v>
      </c>
      <c r="C32" s="61"/>
      <c r="D32" s="62"/>
      <c r="E32" s="63"/>
      <c r="F32" s="64"/>
      <c r="G32" s="65" t="str">
        <f>IFERROR(INDEX($F$1:$F$1001,ROW())/INDEX($D$1:$D$1001,ROW()),0)</f>
        <v/>
      </c>
      <c r="H32" s="66"/>
    </row>
    <row r="33" spans="2:8">
      <c r="B33" s="60" t="s">
        <v>45</v>
      </c>
      <c r="C33" s="61"/>
      <c r="D33" s="62"/>
      <c r="E33" s="63"/>
      <c r="F33" s="64"/>
      <c r="G33" s="65" t="str">
        <f>IFERROR(INDEX($F$1:$F$1001,ROW())/INDEX($D$1:$D$1001,ROW()),0)</f>
        <v/>
      </c>
      <c r="H33" s="66"/>
    </row>
    <row r="34" spans="2:8">
      <c r="B34" s="60" t="s">
        <v>46</v>
      </c>
      <c r="C34" s="61"/>
      <c r="D34" s="62"/>
      <c r="E34" s="63"/>
      <c r="F34" s="64"/>
      <c r="G34" s="65" t="str">
        <f>IFERROR(INDEX($F$1:$F$1001,ROW())/INDEX($D$1:$D$1001,ROW()),0)</f>
        <v/>
      </c>
      <c r="H34" s="66"/>
    </row>
    <row r="35" spans="2:8">
      <c r="B35" s="60" t="s">
        <v>47</v>
      </c>
      <c r="C35" s="61"/>
      <c r="D35" s="62"/>
      <c r="E35" s="63"/>
      <c r="F35" s="64"/>
      <c r="G35" s="65" t="str">
        <f>IFERROR(INDEX($F$1:$F$1001,ROW())/INDEX($D$1:$D$1001,ROW()),0)</f>
        <v/>
      </c>
      <c r="H35" s="66"/>
    </row>
    <row r="36" spans="2:8">
      <c r="B36" s="60" t="s">
        <v>48</v>
      </c>
      <c r="C36" s="61"/>
      <c r="D36" s="62"/>
      <c r="E36" s="63"/>
      <c r="F36" s="64"/>
      <c r="G36" s="65" t="str">
        <f>IFERROR(INDEX($F$1:$F$1001,ROW())/INDEX($D$1:$D$1001,ROW()),0)</f>
        <v/>
      </c>
      <c r="H36" s="66"/>
    </row>
    <row r="37" spans="2:8">
      <c r="B37" s="60" t="s">
        <v>49</v>
      </c>
      <c r="C37" s="61"/>
      <c r="D37" s="62"/>
      <c r="E37" s="63"/>
      <c r="F37" s="64"/>
      <c r="G37" s="65" t="str">
        <f>IFERROR(INDEX($F$1:$F$1001,ROW())/INDEX($D$1:$D$1001,ROW()),0)</f>
        <v/>
      </c>
      <c r="H37" s="66"/>
    </row>
    <row r="38" spans="2:8">
      <c r="B38" s="60" t="s">
        <v>50</v>
      </c>
      <c r="C38" s="61"/>
      <c r="D38" s="62"/>
      <c r="E38" s="63"/>
      <c r="F38" s="64"/>
      <c r="G38" s="65" t="str">
        <f>IFERROR(INDEX($F$1:$F$1001,ROW())/INDEX($D$1:$D$1001,ROW()),0)</f>
        <v/>
      </c>
      <c r="H38" s="66"/>
    </row>
    <row r="39" spans="2:8">
      <c r="B39" s="60" t="s">
        <v>51</v>
      </c>
      <c r="C39" s="61"/>
      <c r="D39" s="62"/>
      <c r="E39" s="63"/>
      <c r="F39" s="64"/>
      <c r="G39" s="65" t="str">
        <f>IFERROR(INDEX($F$1:$F$1001,ROW())/INDEX($D$1:$D$1001,ROW()),0)</f>
        <v/>
      </c>
      <c r="H39" s="66"/>
    </row>
    <row r="40" spans="2:8">
      <c r="B40" s="60" t="s">
        <v>52</v>
      </c>
      <c r="C40" s="61"/>
      <c r="D40" s="62"/>
      <c r="E40" s="63"/>
      <c r="F40" s="64"/>
      <c r="G40" s="65" t="str">
        <f>IFERROR(INDEX($F$1:$F$1001,ROW())/INDEX($D$1:$D$1001,ROW()),0)</f>
        <v/>
      </c>
      <c r="H40" s="66"/>
    </row>
    <row r="41" spans="2:8">
      <c r="B41" s="60" t="s">
        <v>53</v>
      </c>
      <c r="C41" s="61"/>
      <c r="D41" s="62"/>
      <c r="E41" s="63"/>
      <c r="F41" s="64"/>
      <c r="G41" s="65" t="str">
        <f>IFERROR(INDEX($F$1:$F$1001,ROW())/INDEX($D$1:$D$1001,ROW()),0)</f>
        <v/>
      </c>
      <c r="H41" s="66"/>
    </row>
    <row r="42" spans="2:8">
      <c r="B42" s="60" t="s">
        <v>54</v>
      </c>
      <c r="C42" s="61"/>
      <c r="D42" s="62"/>
      <c r="E42" s="63"/>
      <c r="F42" s="64"/>
      <c r="G42" s="65" t="str">
        <f>IFERROR(INDEX($F$1:$F$1001,ROW())/INDEX($D$1:$D$1001,ROW()),0)</f>
        <v/>
      </c>
      <c r="H42" s="66"/>
    </row>
    <row r="43" spans="2:8">
      <c r="B43" s="60" t="s">
        <v>55</v>
      </c>
      <c r="C43" s="61"/>
      <c r="D43" s="62"/>
      <c r="E43" s="63"/>
      <c r="F43" s="64"/>
      <c r="G43" s="65" t="str">
        <f>IFERROR(INDEX($F$1:$F$1001,ROW())/INDEX($D$1:$D$1001,ROW()),0)</f>
        <v/>
      </c>
      <c r="H43" s="66"/>
    </row>
    <row r="44" spans="2:8">
      <c r="B44" s="60" t="s">
        <v>56</v>
      </c>
      <c r="C44" s="61"/>
      <c r="D44" s="62"/>
      <c r="E44" s="63"/>
      <c r="F44" s="64"/>
      <c r="G44" s="65" t="str">
        <f>IFERROR(INDEX($F$1:$F$1001,ROW())/INDEX($D$1:$D$1001,ROW()),0)</f>
        <v/>
      </c>
      <c r="H44" s="66"/>
    </row>
    <row r="45" spans="2:8">
      <c r="B45" s="60" t="s">
        <v>57</v>
      </c>
      <c r="C45" s="61"/>
      <c r="D45" s="62"/>
      <c r="E45" s="63"/>
      <c r="F45" s="64"/>
      <c r="G45" s="65" t="str">
        <f>IFERROR(INDEX($F$1:$F$1001,ROW())/INDEX($D$1:$D$1001,ROW()),0)</f>
        <v/>
      </c>
      <c r="H45" s="66"/>
    </row>
    <row r="46" spans="2:8">
      <c r="B46" s="60" t="s">
        <v>58</v>
      </c>
      <c r="C46" s="61"/>
      <c r="D46" s="62"/>
      <c r="E46" s="63"/>
      <c r="F46" s="64"/>
      <c r="G46" s="65" t="str">
        <f>IFERROR(INDEX($F$1:$F$1001,ROW())/INDEX($D$1:$D$1001,ROW()),0)</f>
        <v/>
      </c>
      <c r="H46" s="66"/>
    </row>
    <row r="47" spans="2:8">
      <c r="B47" s="60" t="s">
        <v>59</v>
      </c>
      <c r="C47" s="61"/>
      <c r="D47" s="62"/>
      <c r="E47" s="63"/>
      <c r="F47" s="64"/>
      <c r="G47" s="65" t="str">
        <f>IFERROR(INDEX($F$1:$F$1001,ROW())/INDEX($D$1:$D$1001,ROW()),0)</f>
        <v/>
      </c>
      <c r="H47" s="66"/>
    </row>
    <row r="48" spans="2:8">
      <c r="B48" s="67" t="str">
        <f>IF($E$2="","",VLOOKUP($E$2,Sprachversionen!$B:$BN,30,FALSE))</f>
        <v/>
      </c>
      <c r="C48" s="68"/>
      <c r="D48" s="69" t="str">
        <f>SUMPRODUCT(ROUND(D28:D47,2))</f>
        <v/>
      </c>
      <c r="E48" s="69" t="str">
        <f>SUMPRODUCT(ROUND(E28:E47,2))</f>
        <v/>
      </c>
      <c r="F48" s="69" t="str">
        <f>SUMPRODUCT(ROUND(F28:F47,2))</f>
        <v/>
      </c>
      <c r="G48" s="70" t="str">
        <f>IFERROR(INDEX($F$1:$F$1001,ROW())/INDEX($D$1:$D$1001,ROW()),0)</f>
        <v/>
      </c>
      <c r="H48" s="71"/>
    </row>
    <row r="49" spans="2:8">
      <c r="B49" s="55" t="s">
        <v>60</v>
      </c>
      <c r="C49" s="56" t="str">
        <f>IF($E$2="","",VLOOKUP($E$2,Sprachversionen!$B:$BN,31,FALSE))</f>
        <v/>
      </c>
      <c r="D49" s="57"/>
      <c r="E49" s="57"/>
      <c r="F49" s="57"/>
      <c r="G49" s="58"/>
      <c r="H49" s="59"/>
    </row>
    <row r="50" spans="2:8">
      <c r="B50" s="60" t="s">
        <v>61</v>
      </c>
      <c r="C50" s="61"/>
      <c r="D50" s="62"/>
      <c r="E50" s="63"/>
      <c r="F50" s="64"/>
      <c r="G50" s="65" t="str">
        <f>IFERROR(INDEX($F$1:$F$1001,ROW())/INDEX($D$1:$D$1001,ROW()),0)</f>
        <v/>
      </c>
      <c r="H50" s="66"/>
    </row>
    <row r="51" spans="2:8">
      <c r="B51" s="60" t="s">
        <v>62</v>
      </c>
      <c r="C51" s="61"/>
      <c r="D51" s="62"/>
      <c r="E51" s="63"/>
      <c r="F51" s="64"/>
      <c r="G51" s="65" t="str">
        <f>IFERROR(INDEX($F$1:$F$1001,ROW())/INDEX($D$1:$D$1001,ROW()),0)</f>
        <v/>
      </c>
      <c r="H51" s="66"/>
    </row>
    <row r="52" spans="2:8">
      <c r="B52" s="60" t="s">
        <v>63</v>
      </c>
      <c r="C52" s="61"/>
      <c r="D52" s="62"/>
      <c r="E52" s="63"/>
      <c r="F52" s="64"/>
      <c r="G52" s="65" t="str">
        <f>IFERROR(INDEX($F$1:$F$1001,ROW())/INDEX($D$1:$D$1001,ROW()),0)</f>
        <v/>
      </c>
      <c r="H52" s="66"/>
    </row>
    <row r="53" spans="2:8">
      <c r="B53" s="60" t="s">
        <v>64</v>
      </c>
      <c r="C53" s="61"/>
      <c r="D53" s="62"/>
      <c r="E53" s="63"/>
      <c r="F53" s="64"/>
      <c r="G53" s="65" t="str">
        <f>IFERROR(INDEX($F$1:$F$1001,ROW())/INDEX($D$1:$D$1001,ROW()),0)</f>
        <v/>
      </c>
      <c r="H53" s="66"/>
    </row>
    <row r="54" spans="2:8">
      <c r="B54" s="60" t="s">
        <v>65</v>
      </c>
      <c r="C54" s="61"/>
      <c r="D54" s="62"/>
      <c r="E54" s="63"/>
      <c r="F54" s="64"/>
      <c r="G54" s="65" t="str">
        <f>IFERROR(INDEX($F$1:$F$1001,ROW())/INDEX($D$1:$D$1001,ROW()),0)</f>
        <v/>
      </c>
      <c r="H54" s="66"/>
    </row>
    <row r="55" spans="2:8">
      <c r="B55" s="60" t="s">
        <v>66</v>
      </c>
      <c r="C55" s="61"/>
      <c r="D55" s="62"/>
      <c r="E55" s="63"/>
      <c r="F55" s="64"/>
      <c r="G55" s="65" t="str">
        <f>IFERROR(INDEX($F$1:$F$1001,ROW())/INDEX($D$1:$D$1001,ROW()),0)</f>
        <v/>
      </c>
      <c r="H55" s="66"/>
    </row>
    <row r="56" spans="2:8">
      <c r="B56" s="60" t="s">
        <v>67</v>
      </c>
      <c r="C56" s="61"/>
      <c r="D56" s="62"/>
      <c r="E56" s="63"/>
      <c r="F56" s="64"/>
      <c r="G56" s="65" t="str">
        <f>IFERROR(INDEX($F$1:$F$1001,ROW())/INDEX($D$1:$D$1001,ROW()),0)</f>
        <v/>
      </c>
      <c r="H56" s="66"/>
    </row>
    <row r="57" spans="2:8">
      <c r="B57" s="60" t="s">
        <v>68</v>
      </c>
      <c r="C57" s="61"/>
      <c r="D57" s="62"/>
      <c r="E57" s="63"/>
      <c r="F57" s="64"/>
      <c r="G57" s="65" t="str">
        <f>IFERROR(INDEX($F$1:$F$1001,ROW())/INDEX($D$1:$D$1001,ROW()),0)</f>
        <v/>
      </c>
      <c r="H57" s="66"/>
    </row>
    <row r="58" spans="2:8">
      <c r="B58" s="60" t="s">
        <v>69</v>
      </c>
      <c r="C58" s="61"/>
      <c r="D58" s="62"/>
      <c r="E58" s="63"/>
      <c r="F58" s="64"/>
      <c r="G58" s="65" t="str">
        <f>IFERROR(INDEX($F$1:$F$1001,ROW())/INDEX($D$1:$D$1001,ROW()),0)</f>
        <v/>
      </c>
      <c r="H58" s="66"/>
    </row>
    <row r="59" spans="2:8">
      <c r="B59" s="60" t="s">
        <v>70</v>
      </c>
      <c r="C59" s="61"/>
      <c r="D59" s="62"/>
      <c r="E59" s="63"/>
      <c r="F59" s="64"/>
      <c r="G59" s="65" t="str">
        <f>IFERROR(INDEX($F$1:$F$1001,ROW())/INDEX($D$1:$D$1001,ROW()),0)</f>
        <v/>
      </c>
      <c r="H59" s="66"/>
    </row>
    <row r="60" spans="2:8">
      <c r="B60" s="60" t="s">
        <v>71</v>
      </c>
      <c r="C60" s="61"/>
      <c r="D60" s="62"/>
      <c r="E60" s="63"/>
      <c r="F60" s="64"/>
      <c r="G60" s="65" t="str">
        <f>IFERROR(INDEX($F$1:$F$1001,ROW())/INDEX($D$1:$D$1001,ROW()),0)</f>
        <v/>
      </c>
      <c r="H60" s="66"/>
    </row>
    <row r="61" spans="2:8">
      <c r="B61" s="60" t="s">
        <v>72</v>
      </c>
      <c r="C61" s="61"/>
      <c r="D61" s="62"/>
      <c r="E61" s="63"/>
      <c r="F61" s="64"/>
      <c r="G61" s="65" t="str">
        <f>IFERROR(INDEX($F$1:$F$1001,ROW())/INDEX($D$1:$D$1001,ROW()),0)</f>
        <v/>
      </c>
      <c r="H61" s="66"/>
    </row>
    <row r="62" spans="2:8">
      <c r="B62" s="60" t="s">
        <v>73</v>
      </c>
      <c r="C62" s="61"/>
      <c r="D62" s="62"/>
      <c r="E62" s="63"/>
      <c r="F62" s="64"/>
      <c r="G62" s="65" t="str">
        <f>IFERROR(INDEX($F$1:$F$1001,ROW())/INDEX($D$1:$D$1001,ROW()),0)</f>
        <v/>
      </c>
      <c r="H62" s="66"/>
    </row>
    <row r="63" spans="2:8">
      <c r="B63" s="60" t="s">
        <v>74</v>
      </c>
      <c r="C63" s="61"/>
      <c r="D63" s="62"/>
      <c r="E63" s="63"/>
      <c r="F63" s="64"/>
      <c r="G63" s="65" t="str">
        <f>IFERROR(INDEX($F$1:$F$1001,ROW())/INDEX($D$1:$D$1001,ROW()),0)</f>
        <v/>
      </c>
      <c r="H63" s="66"/>
    </row>
    <row r="64" spans="2:8">
      <c r="B64" s="60" t="s">
        <v>75</v>
      </c>
      <c r="C64" s="61"/>
      <c r="D64" s="62"/>
      <c r="E64" s="63"/>
      <c r="F64" s="64"/>
      <c r="G64" s="65" t="str">
        <f>IFERROR(INDEX($F$1:$F$1001,ROW())/INDEX($D$1:$D$1001,ROW()),0)</f>
        <v/>
      </c>
      <c r="H64" s="66"/>
    </row>
    <row r="65" spans="2:8">
      <c r="B65" s="60" t="s">
        <v>76</v>
      </c>
      <c r="C65" s="61"/>
      <c r="D65" s="62"/>
      <c r="E65" s="63"/>
      <c r="F65" s="64"/>
      <c r="G65" s="65" t="str">
        <f>IFERROR(INDEX($F$1:$F$1001,ROW())/INDEX($D$1:$D$1001,ROW()),0)</f>
        <v/>
      </c>
      <c r="H65" s="66"/>
    </row>
    <row r="66" spans="2:8">
      <c r="B66" s="60" t="s">
        <v>77</v>
      </c>
      <c r="C66" s="61"/>
      <c r="D66" s="62"/>
      <c r="E66" s="63"/>
      <c r="F66" s="64"/>
      <c r="G66" s="65" t="str">
        <f>IFERROR(INDEX($F$1:$F$1001,ROW())/INDEX($D$1:$D$1001,ROW()),0)</f>
        <v/>
      </c>
      <c r="H66" s="66"/>
    </row>
    <row r="67" spans="2:8">
      <c r="B67" s="60" t="s">
        <v>78</v>
      </c>
      <c r="C67" s="61"/>
      <c r="D67" s="62"/>
      <c r="E67" s="63"/>
      <c r="F67" s="64"/>
      <c r="G67" s="65" t="str">
        <f>IFERROR(INDEX($F$1:$F$1001,ROW())/INDEX($D$1:$D$1001,ROW()),0)</f>
        <v/>
      </c>
      <c r="H67" s="66"/>
    </row>
    <row r="68" spans="2:8">
      <c r="B68" s="60" t="s">
        <v>79</v>
      </c>
      <c r="C68" s="61"/>
      <c r="D68" s="62"/>
      <c r="E68" s="63"/>
      <c r="F68" s="64"/>
      <c r="G68" s="65" t="str">
        <f>IFERROR(INDEX($F$1:$F$1001,ROW())/INDEX($D$1:$D$1001,ROW()),0)</f>
        <v/>
      </c>
      <c r="H68" s="66"/>
    </row>
    <row r="69" spans="2:8">
      <c r="B69" s="60" t="s">
        <v>80</v>
      </c>
      <c r="C69" s="61"/>
      <c r="D69" s="62"/>
      <c r="E69" s="63"/>
      <c r="F69" s="64"/>
      <c r="G69" s="65" t="str">
        <f>IFERROR(INDEX($F$1:$F$1001,ROW())/INDEX($D$1:$D$1001,ROW()),0)</f>
        <v/>
      </c>
      <c r="H69" s="66"/>
    </row>
    <row r="70" spans="2:8">
      <c r="B70" s="67" t="str">
        <f>IF($E$2="","",VLOOKUP($E$2,Sprachversionen!$B:$BN,32,FALSE))</f>
        <v/>
      </c>
      <c r="C70" s="68"/>
      <c r="D70" s="69" t="str">
        <f>SUMPRODUCT(ROUND(D50:D69,2))</f>
        <v/>
      </c>
      <c r="E70" s="69" t="str">
        <f>SUMPRODUCT(ROUND(E50:E69,2))</f>
        <v/>
      </c>
      <c r="F70" s="69" t="str">
        <f>SUMPRODUCT(ROUND(F50:F69,2))</f>
        <v/>
      </c>
      <c r="G70" s="70" t="str">
        <f>IFERROR(INDEX($F$1:$F$1001,ROW())/INDEX($D$1:$D$1001,ROW()),0)</f>
        <v/>
      </c>
      <c r="H70" s="71"/>
    </row>
    <row r="71" spans="2:8">
      <c r="B71" s="55" t="s">
        <v>81</v>
      </c>
      <c r="C71" s="56" t="str">
        <f>IF($E$2="","",VLOOKUP($E$2,Sprachversionen!$B:$BN,33,FALSE))</f>
        <v/>
      </c>
      <c r="D71" s="57"/>
      <c r="E71" s="57"/>
      <c r="F71" s="57"/>
      <c r="G71" s="58"/>
      <c r="H71" s="59"/>
    </row>
    <row r="72" spans="2:8">
      <c r="B72" s="60" t="s">
        <v>82</v>
      </c>
      <c r="C72" s="61"/>
      <c r="D72" s="62"/>
      <c r="E72" s="63"/>
      <c r="F72" s="64"/>
      <c r="G72" s="65" t="str">
        <f>IFERROR(INDEX($F$1:$F$1001,ROW())/INDEX($D$1:$D$1001,ROW()),0)</f>
        <v/>
      </c>
      <c r="H72" s="66"/>
    </row>
    <row r="73" spans="2:8">
      <c r="B73" s="60" t="s">
        <v>83</v>
      </c>
      <c r="C73" s="61"/>
      <c r="D73" s="62"/>
      <c r="E73" s="63"/>
      <c r="F73" s="64"/>
      <c r="G73" s="65" t="str">
        <f>IFERROR(INDEX($F$1:$F$1001,ROW())/INDEX($D$1:$D$1001,ROW()),0)</f>
        <v/>
      </c>
      <c r="H73" s="66"/>
    </row>
    <row r="74" spans="2:8">
      <c r="B74" s="60" t="s">
        <v>84</v>
      </c>
      <c r="C74" s="61"/>
      <c r="D74" s="62"/>
      <c r="E74" s="63"/>
      <c r="F74" s="64"/>
      <c r="G74" s="65" t="str">
        <f>IFERROR(INDEX($F$1:$F$1001,ROW())/INDEX($D$1:$D$1001,ROW()),0)</f>
        <v/>
      </c>
      <c r="H74" s="66"/>
    </row>
    <row r="75" spans="2:8">
      <c r="B75" s="60" t="s">
        <v>85</v>
      </c>
      <c r="C75" s="61"/>
      <c r="D75" s="62"/>
      <c r="E75" s="63"/>
      <c r="F75" s="64"/>
      <c r="G75" s="65" t="str">
        <f>IFERROR(INDEX($F$1:$F$1001,ROW())/INDEX($D$1:$D$1001,ROW()),0)</f>
        <v/>
      </c>
      <c r="H75" s="66"/>
    </row>
    <row r="76" spans="2:8">
      <c r="B76" s="60" t="s">
        <v>86</v>
      </c>
      <c r="C76" s="61"/>
      <c r="D76" s="62"/>
      <c r="E76" s="63"/>
      <c r="F76" s="64"/>
      <c r="G76" s="65" t="str">
        <f>IFERROR(INDEX($F$1:$F$1001,ROW())/INDEX($D$1:$D$1001,ROW()),0)</f>
        <v/>
      </c>
      <c r="H76" s="66"/>
    </row>
    <row r="77" spans="2:8">
      <c r="B77" s="60" t="s">
        <v>87</v>
      </c>
      <c r="C77" s="61"/>
      <c r="D77" s="62"/>
      <c r="E77" s="63"/>
      <c r="F77" s="64"/>
      <c r="G77" s="65" t="str">
        <f>IFERROR(INDEX($F$1:$F$1001,ROW())/INDEX($D$1:$D$1001,ROW()),0)</f>
        <v/>
      </c>
      <c r="H77" s="66"/>
    </row>
    <row r="78" spans="2:8">
      <c r="B78" s="60" t="s">
        <v>88</v>
      </c>
      <c r="C78" s="61"/>
      <c r="D78" s="62"/>
      <c r="E78" s="63"/>
      <c r="F78" s="64"/>
      <c r="G78" s="65" t="str">
        <f>IFERROR(INDEX($F$1:$F$1001,ROW())/INDEX($D$1:$D$1001,ROW()),0)</f>
        <v/>
      </c>
      <c r="H78" s="66"/>
    </row>
    <row r="79" spans="2:8">
      <c r="B79" s="60" t="s">
        <v>89</v>
      </c>
      <c r="C79" s="61"/>
      <c r="D79" s="62"/>
      <c r="E79" s="63"/>
      <c r="F79" s="64"/>
      <c r="G79" s="65" t="str">
        <f>IFERROR(INDEX($F$1:$F$1001,ROW())/INDEX($D$1:$D$1001,ROW()),0)</f>
        <v/>
      </c>
      <c r="H79" s="66"/>
    </row>
    <row r="80" spans="2:8">
      <c r="B80" s="60" t="s">
        <v>90</v>
      </c>
      <c r="C80" s="61"/>
      <c r="D80" s="62"/>
      <c r="E80" s="63"/>
      <c r="F80" s="64"/>
      <c r="G80" s="65" t="str">
        <f>IFERROR(INDEX($F$1:$F$1001,ROW())/INDEX($D$1:$D$1001,ROW()),0)</f>
        <v/>
      </c>
      <c r="H80" s="66"/>
    </row>
    <row r="81" spans="2:8">
      <c r="B81" s="60" t="s">
        <v>91</v>
      </c>
      <c r="C81" s="61"/>
      <c r="D81" s="62"/>
      <c r="E81" s="63"/>
      <c r="F81" s="64"/>
      <c r="G81" s="65" t="str">
        <f>IFERROR(INDEX($F$1:$F$1001,ROW())/INDEX($D$1:$D$1001,ROW()),0)</f>
        <v/>
      </c>
      <c r="H81" s="66"/>
    </row>
    <row r="82" spans="2:8">
      <c r="B82" s="60" t="s">
        <v>92</v>
      </c>
      <c r="C82" s="61"/>
      <c r="D82" s="62"/>
      <c r="E82" s="63"/>
      <c r="F82" s="64"/>
      <c r="G82" s="65" t="str">
        <f>IFERROR(INDEX($F$1:$F$1001,ROW())/INDEX($D$1:$D$1001,ROW()),0)</f>
        <v/>
      </c>
      <c r="H82" s="66"/>
    </row>
    <row r="83" spans="2:8">
      <c r="B83" s="60" t="s">
        <v>93</v>
      </c>
      <c r="C83" s="61"/>
      <c r="D83" s="62"/>
      <c r="E83" s="63"/>
      <c r="F83" s="64"/>
      <c r="G83" s="65" t="str">
        <f>IFERROR(INDEX($F$1:$F$1001,ROW())/INDEX($D$1:$D$1001,ROW()),0)</f>
        <v/>
      </c>
      <c r="H83" s="66"/>
    </row>
    <row r="84" spans="2:8">
      <c r="B84" s="60" t="s">
        <v>94</v>
      </c>
      <c r="C84" s="61"/>
      <c r="D84" s="62"/>
      <c r="E84" s="63"/>
      <c r="F84" s="64"/>
      <c r="G84" s="65" t="str">
        <f>IFERROR(INDEX($F$1:$F$1001,ROW())/INDEX($D$1:$D$1001,ROW()),0)</f>
        <v/>
      </c>
      <c r="H84" s="66"/>
    </row>
    <row r="85" spans="2:8">
      <c r="B85" s="60" t="s">
        <v>95</v>
      </c>
      <c r="C85" s="61"/>
      <c r="D85" s="62"/>
      <c r="E85" s="63"/>
      <c r="F85" s="64"/>
      <c r="G85" s="65" t="str">
        <f>IFERROR(INDEX($F$1:$F$1001,ROW())/INDEX($D$1:$D$1001,ROW()),0)</f>
        <v/>
      </c>
      <c r="H85" s="66"/>
    </row>
    <row r="86" spans="2:8">
      <c r="B86" s="60" t="s">
        <v>96</v>
      </c>
      <c r="C86" s="61"/>
      <c r="D86" s="62"/>
      <c r="E86" s="63"/>
      <c r="F86" s="64"/>
      <c r="G86" s="65" t="str">
        <f>IFERROR(INDEX($F$1:$F$1001,ROW())/INDEX($D$1:$D$1001,ROW()),0)</f>
        <v/>
      </c>
      <c r="H86" s="66"/>
    </row>
    <row r="87" spans="2:8">
      <c r="B87" s="60" t="s">
        <v>97</v>
      </c>
      <c r="C87" s="61"/>
      <c r="D87" s="62"/>
      <c r="E87" s="63"/>
      <c r="F87" s="64"/>
      <c r="G87" s="65" t="str">
        <f>IFERROR(INDEX($F$1:$F$1001,ROW())/INDEX($D$1:$D$1001,ROW()),0)</f>
        <v/>
      </c>
      <c r="H87" s="66"/>
    </row>
    <row r="88" spans="2:8">
      <c r="B88" s="60" t="s">
        <v>98</v>
      </c>
      <c r="C88" s="61"/>
      <c r="D88" s="62"/>
      <c r="E88" s="63"/>
      <c r="F88" s="64"/>
      <c r="G88" s="65" t="str">
        <f>IFERROR(INDEX($F$1:$F$1001,ROW())/INDEX($D$1:$D$1001,ROW()),0)</f>
        <v/>
      </c>
      <c r="H88" s="66"/>
    </row>
    <row r="89" spans="2:8">
      <c r="B89" s="60" t="s">
        <v>99</v>
      </c>
      <c r="C89" s="61"/>
      <c r="D89" s="62"/>
      <c r="E89" s="63"/>
      <c r="F89" s="64"/>
      <c r="G89" s="65" t="str">
        <f>IFERROR(INDEX($F$1:$F$1001,ROW())/INDEX($D$1:$D$1001,ROW()),0)</f>
        <v/>
      </c>
      <c r="H89" s="66"/>
    </row>
    <row r="90" spans="2:8">
      <c r="B90" s="60" t="s">
        <v>100</v>
      </c>
      <c r="C90" s="61"/>
      <c r="D90" s="62"/>
      <c r="E90" s="63"/>
      <c r="F90" s="64"/>
      <c r="G90" s="65" t="str">
        <f>IFERROR(INDEX($F$1:$F$1001,ROW())/INDEX($D$1:$D$1001,ROW()),0)</f>
        <v/>
      </c>
      <c r="H90" s="66"/>
    </row>
    <row r="91" spans="2:8">
      <c r="B91" s="60" t="s">
        <v>101</v>
      </c>
      <c r="C91" s="61"/>
      <c r="D91" s="62"/>
      <c r="E91" s="63"/>
      <c r="F91" s="64"/>
      <c r="G91" s="65" t="str">
        <f>IFERROR(INDEX($F$1:$F$1001,ROW())/INDEX($D$1:$D$1001,ROW()),0)</f>
        <v/>
      </c>
      <c r="H91" s="66"/>
    </row>
    <row r="92" spans="2:8">
      <c r="B92" s="60" t="s">
        <v>102</v>
      </c>
      <c r="C92" s="61"/>
      <c r="D92" s="62"/>
      <c r="E92" s="63"/>
      <c r="F92" s="64"/>
      <c r="G92" s="65" t="str">
        <f>IFERROR(INDEX($F$1:$F$1001,ROW())/INDEX($D$1:$D$1001,ROW()),0)</f>
        <v/>
      </c>
      <c r="H92" s="66"/>
    </row>
    <row r="93" spans="2:8">
      <c r="B93" s="60" t="s">
        <v>103</v>
      </c>
      <c r="C93" s="61"/>
      <c r="D93" s="62"/>
      <c r="E93" s="63"/>
      <c r="F93" s="64"/>
      <c r="G93" s="65" t="str">
        <f>IFERROR(INDEX($F$1:$F$1001,ROW())/INDEX($D$1:$D$1001,ROW()),0)</f>
        <v/>
      </c>
      <c r="H93" s="66"/>
    </row>
    <row r="94" spans="2:8">
      <c r="B94" s="60" t="s">
        <v>104</v>
      </c>
      <c r="C94" s="61"/>
      <c r="D94" s="62"/>
      <c r="E94" s="63"/>
      <c r="F94" s="64"/>
      <c r="G94" s="65" t="str">
        <f>IFERROR(INDEX($F$1:$F$1001,ROW())/INDEX($D$1:$D$1001,ROW()),0)</f>
        <v/>
      </c>
      <c r="H94" s="66"/>
    </row>
    <row r="95" spans="2:8">
      <c r="B95" s="60" t="s">
        <v>105</v>
      </c>
      <c r="C95" s="61"/>
      <c r="D95" s="62"/>
      <c r="E95" s="63"/>
      <c r="F95" s="64"/>
      <c r="G95" s="65" t="str">
        <f>IFERROR(INDEX($F$1:$F$1001,ROW())/INDEX($D$1:$D$1001,ROW()),0)</f>
        <v/>
      </c>
      <c r="H95" s="66"/>
    </row>
    <row r="96" spans="2:8">
      <c r="B96" s="60" t="s">
        <v>106</v>
      </c>
      <c r="C96" s="61"/>
      <c r="D96" s="62"/>
      <c r="E96" s="63"/>
      <c r="F96" s="64"/>
      <c r="G96" s="65" t="str">
        <f>IFERROR(INDEX($F$1:$F$1001,ROW())/INDEX($D$1:$D$1001,ROW()),0)</f>
        <v/>
      </c>
      <c r="H96" s="66"/>
    </row>
    <row r="97" spans="2:8">
      <c r="B97" s="60" t="s">
        <v>107</v>
      </c>
      <c r="C97" s="61"/>
      <c r="D97" s="62"/>
      <c r="E97" s="63"/>
      <c r="F97" s="64"/>
      <c r="G97" s="65" t="str">
        <f>IFERROR(INDEX($F$1:$F$1001,ROW())/INDEX($D$1:$D$1001,ROW()),0)</f>
        <v/>
      </c>
      <c r="H97" s="66"/>
    </row>
    <row r="98" spans="2:8">
      <c r="B98" s="60" t="s">
        <v>108</v>
      </c>
      <c r="C98" s="61"/>
      <c r="D98" s="62"/>
      <c r="E98" s="63"/>
      <c r="F98" s="64"/>
      <c r="G98" s="65" t="str">
        <f>IFERROR(INDEX($F$1:$F$1001,ROW())/INDEX($D$1:$D$1001,ROW()),0)</f>
        <v/>
      </c>
      <c r="H98" s="66"/>
    </row>
    <row r="99" spans="2:8">
      <c r="B99" s="60" t="s">
        <v>109</v>
      </c>
      <c r="C99" s="61"/>
      <c r="D99" s="62"/>
      <c r="E99" s="63"/>
      <c r="F99" s="64"/>
      <c r="G99" s="65" t="str">
        <f>IFERROR(INDEX($F$1:$F$1001,ROW())/INDEX($D$1:$D$1001,ROW()),0)</f>
        <v/>
      </c>
      <c r="H99" s="66"/>
    </row>
    <row r="100" spans="2:8">
      <c r="B100" s="60" t="s">
        <v>110</v>
      </c>
      <c r="C100" s="61"/>
      <c r="D100" s="62"/>
      <c r="E100" s="63"/>
      <c r="F100" s="64"/>
      <c r="G100" s="65" t="str">
        <f>IFERROR(INDEX($F$1:$F$1001,ROW())/INDEX($D$1:$D$1001,ROW()),0)</f>
        <v/>
      </c>
      <c r="H100" s="66"/>
    </row>
    <row r="101" spans="2:8">
      <c r="B101" s="60" t="s">
        <v>111</v>
      </c>
      <c r="C101" s="61"/>
      <c r="D101" s="62"/>
      <c r="E101" s="63"/>
      <c r="F101" s="64"/>
      <c r="G101" s="65" t="str">
        <f>IFERROR(INDEX($F$1:$F$1001,ROW())/INDEX($D$1:$D$1001,ROW()),0)</f>
        <v/>
      </c>
      <c r="H101" s="66"/>
    </row>
    <row r="102" spans="2:8">
      <c r="B102" s="67" t="str">
        <f>IF($E$2="","",VLOOKUP($E$2,Sprachversionen!$B:$BN,34,FALSE))</f>
        <v/>
      </c>
      <c r="C102" s="68"/>
      <c r="D102" s="69" t="str">
        <f>SUMPRODUCT(ROUND(D72:D101,2))</f>
        <v/>
      </c>
      <c r="E102" s="69" t="str">
        <f>SUMPRODUCT(ROUND(E72:E101,2))</f>
        <v/>
      </c>
      <c r="F102" s="69" t="str">
        <f>SUMPRODUCT(ROUND(F72:F101,2))</f>
        <v/>
      </c>
      <c r="G102" s="70" t="str">
        <f>IFERROR(INDEX($F$1:$F$1001,ROW())/INDEX($D$1:$D$1001,ROW()),0)</f>
        <v/>
      </c>
      <c r="H102" s="71"/>
    </row>
    <row r="103" spans="2:8">
      <c r="B103" s="55" t="s">
        <v>112</v>
      </c>
      <c r="C103" s="56" t="str">
        <f>IF($E$2="","",VLOOKUP($E$2,Sprachversionen!$B:$BN,35,FALSE))</f>
        <v/>
      </c>
      <c r="D103" s="57"/>
      <c r="E103" s="57"/>
      <c r="F103" s="57"/>
      <c r="G103" s="58"/>
      <c r="H103" s="59"/>
    </row>
    <row r="104" spans="2:8">
      <c r="B104" s="60" t="s">
        <v>113</v>
      </c>
      <c r="C104" s="61"/>
      <c r="D104" s="62"/>
      <c r="E104" s="63"/>
      <c r="F104" s="64"/>
      <c r="G104" s="65" t="str">
        <f>IFERROR(INDEX($F$1:$F$1001,ROW())/INDEX($D$1:$D$1001,ROW()),0)</f>
        <v/>
      </c>
      <c r="H104" s="66"/>
    </row>
    <row r="105" spans="2:8">
      <c r="B105" s="60" t="s">
        <v>114</v>
      </c>
      <c r="C105" s="61"/>
      <c r="D105" s="62"/>
      <c r="E105" s="63"/>
      <c r="F105" s="64"/>
      <c r="G105" s="65" t="str">
        <f>IFERROR(INDEX($F$1:$F$1001,ROW())/INDEX($D$1:$D$1001,ROW()),0)</f>
        <v/>
      </c>
      <c r="H105" s="66"/>
    </row>
    <row r="106" spans="2:8">
      <c r="B106" s="60" t="s">
        <v>115</v>
      </c>
      <c r="C106" s="61"/>
      <c r="D106" s="62"/>
      <c r="E106" s="63"/>
      <c r="F106" s="64"/>
      <c r="G106" s="65" t="str">
        <f>IFERROR(INDEX($F$1:$F$1001,ROW())/INDEX($D$1:$D$1001,ROW()),0)</f>
        <v/>
      </c>
      <c r="H106" s="66"/>
    </row>
    <row r="107" spans="2:8">
      <c r="B107" s="60" t="s">
        <v>116</v>
      </c>
      <c r="C107" s="61"/>
      <c r="D107" s="62"/>
      <c r="E107" s="63"/>
      <c r="F107" s="64"/>
      <c r="G107" s="65" t="str">
        <f>IFERROR(INDEX($F$1:$F$1001,ROW())/INDEX($D$1:$D$1001,ROW()),0)</f>
        <v/>
      </c>
      <c r="H107" s="66"/>
    </row>
    <row r="108" spans="2:8">
      <c r="B108" s="60" t="s">
        <v>117</v>
      </c>
      <c r="C108" s="61"/>
      <c r="D108" s="62"/>
      <c r="E108" s="63"/>
      <c r="F108" s="64"/>
      <c r="G108" s="65" t="str">
        <f>IFERROR(INDEX($F$1:$F$1001,ROW())/INDEX($D$1:$D$1001,ROW()),0)</f>
        <v/>
      </c>
      <c r="H108" s="66"/>
    </row>
    <row r="109" spans="2:8">
      <c r="B109" s="60" t="s">
        <v>118</v>
      </c>
      <c r="C109" s="61"/>
      <c r="D109" s="62"/>
      <c r="E109" s="63"/>
      <c r="F109" s="64"/>
      <c r="G109" s="65" t="str">
        <f>IFERROR(INDEX($F$1:$F$1001,ROW())/INDEX($D$1:$D$1001,ROW()),0)</f>
        <v/>
      </c>
      <c r="H109" s="66"/>
    </row>
    <row r="110" spans="2:8">
      <c r="B110" s="60" t="s">
        <v>119</v>
      </c>
      <c r="C110" s="61"/>
      <c r="D110" s="62"/>
      <c r="E110" s="63"/>
      <c r="F110" s="64"/>
      <c r="G110" s="65" t="str">
        <f>IFERROR(INDEX($F$1:$F$1001,ROW())/INDEX($D$1:$D$1001,ROW()),0)</f>
        <v/>
      </c>
      <c r="H110" s="66"/>
    </row>
    <row r="111" spans="2:8">
      <c r="B111" s="60" t="s">
        <v>120</v>
      </c>
      <c r="C111" s="61"/>
      <c r="D111" s="62"/>
      <c r="E111" s="63"/>
      <c r="F111" s="64"/>
      <c r="G111" s="65" t="str">
        <f>IFERROR(INDEX($F$1:$F$1001,ROW())/INDEX($D$1:$D$1001,ROW()),0)</f>
        <v/>
      </c>
      <c r="H111" s="66"/>
    </row>
    <row r="112" spans="2:8">
      <c r="B112" s="60" t="s">
        <v>121</v>
      </c>
      <c r="C112" s="61"/>
      <c r="D112" s="62"/>
      <c r="E112" s="63"/>
      <c r="F112" s="64"/>
      <c r="G112" s="65" t="str">
        <f>IFERROR(INDEX($F$1:$F$1001,ROW())/INDEX($D$1:$D$1001,ROW()),0)</f>
        <v/>
      </c>
      <c r="H112" s="66"/>
    </row>
    <row r="113" spans="2:8">
      <c r="B113" s="60" t="s">
        <v>122</v>
      </c>
      <c r="C113" s="61"/>
      <c r="D113" s="62"/>
      <c r="E113" s="63"/>
      <c r="F113" s="64"/>
      <c r="G113" s="65" t="str">
        <f>IFERROR(INDEX($F$1:$F$1001,ROW())/INDEX($D$1:$D$1001,ROW()),0)</f>
        <v/>
      </c>
      <c r="H113" s="66"/>
    </row>
    <row r="114" spans="2:8">
      <c r="B114" s="60" t="s">
        <v>123</v>
      </c>
      <c r="C114" s="61"/>
      <c r="D114" s="62"/>
      <c r="E114" s="63"/>
      <c r="F114" s="64"/>
      <c r="G114" s="65" t="str">
        <f>IFERROR(INDEX($F$1:$F$1001,ROW())/INDEX($D$1:$D$1001,ROW()),0)</f>
        <v/>
      </c>
      <c r="H114" s="66"/>
    </row>
    <row r="115" spans="2:8">
      <c r="B115" s="60" t="s">
        <v>124</v>
      </c>
      <c r="C115" s="61"/>
      <c r="D115" s="62"/>
      <c r="E115" s="63"/>
      <c r="F115" s="64"/>
      <c r="G115" s="65" t="str">
        <f>IFERROR(INDEX($F$1:$F$1001,ROW())/INDEX($D$1:$D$1001,ROW()),0)</f>
        <v/>
      </c>
      <c r="H115" s="66"/>
    </row>
    <row r="116" spans="2:8">
      <c r="B116" s="60" t="s">
        <v>125</v>
      </c>
      <c r="C116" s="61"/>
      <c r="D116" s="62"/>
      <c r="E116" s="63"/>
      <c r="F116" s="64"/>
      <c r="G116" s="65" t="str">
        <f>IFERROR(INDEX($F$1:$F$1001,ROW())/INDEX($D$1:$D$1001,ROW()),0)</f>
        <v/>
      </c>
      <c r="H116" s="66"/>
    </row>
    <row r="117" spans="2:8">
      <c r="B117" s="60" t="s">
        <v>126</v>
      </c>
      <c r="C117" s="61"/>
      <c r="D117" s="62"/>
      <c r="E117" s="63"/>
      <c r="F117" s="64"/>
      <c r="G117" s="65" t="str">
        <f>IFERROR(INDEX($F$1:$F$1001,ROW())/INDEX($D$1:$D$1001,ROW()),0)</f>
        <v/>
      </c>
      <c r="H117" s="66"/>
    </row>
    <row r="118" spans="2:8">
      <c r="B118" s="60" t="s">
        <v>127</v>
      </c>
      <c r="C118" s="61"/>
      <c r="D118" s="62"/>
      <c r="E118" s="63"/>
      <c r="F118" s="64"/>
      <c r="G118" s="65" t="str">
        <f>IFERROR(INDEX($F$1:$F$1001,ROW())/INDEX($D$1:$D$1001,ROW()),0)</f>
        <v/>
      </c>
      <c r="H118" s="66"/>
    </row>
    <row r="119" spans="2:8">
      <c r="B119" s="60" t="s">
        <v>128</v>
      </c>
      <c r="C119" s="61"/>
      <c r="D119" s="62"/>
      <c r="E119" s="63"/>
      <c r="F119" s="64"/>
      <c r="G119" s="65" t="str">
        <f>IFERROR(INDEX($F$1:$F$1001,ROW())/INDEX($D$1:$D$1001,ROW()),0)</f>
        <v/>
      </c>
      <c r="H119" s="66"/>
    </row>
    <row r="120" spans="2:8">
      <c r="B120" s="60" t="s">
        <v>129</v>
      </c>
      <c r="C120" s="61"/>
      <c r="D120" s="62"/>
      <c r="E120" s="63"/>
      <c r="F120" s="64"/>
      <c r="G120" s="65" t="str">
        <f>IFERROR(INDEX($F$1:$F$1001,ROW())/INDEX($D$1:$D$1001,ROW()),0)</f>
        <v/>
      </c>
      <c r="H120" s="66"/>
    </row>
    <row r="121" spans="2:8">
      <c r="B121" s="60" t="s">
        <v>130</v>
      </c>
      <c r="C121" s="61"/>
      <c r="D121" s="62"/>
      <c r="E121" s="63"/>
      <c r="F121" s="64"/>
      <c r="G121" s="65" t="str">
        <f>IFERROR(INDEX($F$1:$F$1001,ROW())/INDEX($D$1:$D$1001,ROW()),0)</f>
        <v/>
      </c>
      <c r="H121" s="66"/>
    </row>
    <row r="122" spans="2:8">
      <c r="B122" s="60" t="s">
        <v>131</v>
      </c>
      <c r="C122" s="61"/>
      <c r="D122" s="62"/>
      <c r="E122" s="63"/>
      <c r="F122" s="64"/>
      <c r="G122" s="65" t="str">
        <f>IFERROR(INDEX($F$1:$F$1001,ROW())/INDEX($D$1:$D$1001,ROW()),0)</f>
        <v/>
      </c>
      <c r="H122" s="66"/>
    </row>
    <row r="123" spans="2:8">
      <c r="B123" s="60" t="s">
        <v>132</v>
      </c>
      <c r="C123" s="61"/>
      <c r="D123" s="62"/>
      <c r="E123" s="63"/>
      <c r="F123" s="64"/>
      <c r="G123" s="65" t="str">
        <f>IFERROR(INDEX($F$1:$F$1001,ROW())/INDEX($D$1:$D$1001,ROW()),0)</f>
        <v/>
      </c>
      <c r="H123" s="66"/>
    </row>
    <row r="124" spans="2:8">
      <c r="B124" s="60" t="s">
        <v>133</v>
      </c>
      <c r="C124" s="61"/>
      <c r="D124" s="62"/>
      <c r="E124" s="63"/>
      <c r="F124" s="64"/>
      <c r="G124" s="65" t="str">
        <f>IFERROR(INDEX($F$1:$F$1001,ROW())/INDEX($D$1:$D$1001,ROW()),0)</f>
        <v/>
      </c>
      <c r="H124" s="66"/>
    </row>
    <row r="125" spans="2:8">
      <c r="B125" s="60" t="s">
        <v>134</v>
      </c>
      <c r="C125" s="61"/>
      <c r="D125" s="62"/>
      <c r="E125" s="63"/>
      <c r="F125" s="64"/>
      <c r="G125" s="65" t="str">
        <f>IFERROR(INDEX($F$1:$F$1001,ROW())/INDEX($D$1:$D$1001,ROW()),0)</f>
        <v/>
      </c>
      <c r="H125" s="66"/>
    </row>
    <row r="126" spans="2:8">
      <c r="B126" s="60" t="s">
        <v>135</v>
      </c>
      <c r="C126" s="61"/>
      <c r="D126" s="62"/>
      <c r="E126" s="63"/>
      <c r="F126" s="64"/>
      <c r="G126" s="65" t="str">
        <f>IFERROR(INDEX($F$1:$F$1001,ROW())/INDEX($D$1:$D$1001,ROW()),0)</f>
        <v/>
      </c>
      <c r="H126" s="66"/>
    </row>
    <row r="127" spans="2:8">
      <c r="B127" s="60" t="s">
        <v>136</v>
      </c>
      <c r="C127" s="61"/>
      <c r="D127" s="62"/>
      <c r="E127" s="63"/>
      <c r="F127" s="64"/>
      <c r="G127" s="65" t="str">
        <f>IFERROR(INDEX($F$1:$F$1001,ROW())/INDEX($D$1:$D$1001,ROW()),0)</f>
        <v/>
      </c>
      <c r="H127" s="66"/>
    </row>
    <row r="128" spans="2:8">
      <c r="B128" s="60" t="s">
        <v>137</v>
      </c>
      <c r="C128" s="61"/>
      <c r="D128" s="62"/>
      <c r="E128" s="63"/>
      <c r="F128" s="64"/>
      <c r="G128" s="65" t="str">
        <f>IFERROR(INDEX($F$1:$F$1001,ROW())/INDEX($D$1:$D$1001,ROW()),0)</f>
        <v/>
      </c>
      <c r="H128" s="66"/>
    </row>
    <row r="129" spans="2:8">
      <c r="B129" s="60" t="s">
        <v>138</v>
      </c>
      <c r="C129" s="61"/>
      <c r="D129" s="62"/>
      <c r="E129" s="63"/>
      <c r="F129" s="64"/>
      <c r="G129" s="65" t="str">
        <f>IFERROR(INDEX($F$1:$F$1001,ROW())/INDEX($D$1:$D$1001,ROW()),0)</f>
        <v/>
      </c>
      <c r="H129" s="66"/>
    </row>
    <row r="130" spans="2:8">
      <c r="B130" s="60" t="s">
        <v>139</v>
      </c>
      <c r="C130" s="61"/>
      <c r="D130" s="62"/>
      <c r="E130" s="63"/>
      <c r="F130" s="64"/>
      <c r="G130" s="65" t="str">
        <f>IFERROR(INDEX($F$1:$F$1001,ROW())/INDEX($D$1:$D$1001,ROW()),0)</f>
        <v/>
      </c>
      <c r="H130" s="66"/>
    </row>
    <row r="131" spans="2:8">
      <c r="B131" s="60" t="s">
        <v>140</v>
      </c>
      <c r="C131" s="61"/>
      <c r="D131" s="62"/>
      <c r="E131" s="63"/>
      <c r="F131" s="64"/>
      <c r="G131" s="65" t="str">
        <f>IFERROR(INDEX($F$1:$F$1001,ROW())/INDEX($D$1:$D$1001,ROW()),0)</f>
        <v/>
      </c>
      <c r="H131" s="66"/>
    </row>
    <row r="132" spans="2:8">
      <c r="B132" s="60" t="s">
        <v>141</v>
      </c>
      <c r="C132" s="61"/>
      <c r="D132" s="62"/>
      <c r="E132" s="63"/>
      <c r="F132" s="64"/>
      <c r="G132" s="65" t="str">
        <f>IFERROR(INDEX($F$1:$F$1001,ROW())/INDEX($D$1:$D$1001,ROW()),0)</f>
        <v/>
      </c>
      <c r="H132" s="66"/>
    </row>
    <row r="133" spans="2:8">
      <c r="B133" s="60" t="s">
        <v>142</v>
      </c>
      <c r="C133" s="61"/>
      <c r="D133" s="62"/>
      <c r="E133" s="63"/>
      <c r="F133" s="64"/>
      <c r="G133" s="65" t="str">
        <f>IFERROR(INDEX($F$1:$F$1001,ROW())/INDEX($D$1:$D$1001,ROW()),0)</f>
        <v/>
      </c>
      <c r="H133" s="66"/>
    </row>
    <row r="134" spans="2:8">
      <c r="B134" s="67" t="str">
        <f>IF($E$2="","",VLOOKUP($E$2,Sprachversionen!$B:$BN,36,FALSE))</f>
        <v/>
      </c>
      <c r="C134" s="68"/>
      <c r="D134" s="69" t="str">
        <f>SUMPRODUCT(ROUND(D104:D133,2))</f>
        <v/>
      </c>
      <c r="E134" s="69" t="str">
        <f>SUMPRODUCT(ROUND(E104:E133,2))</f>
        <v/>
      </c>
      <c r="F134" s="69" t="str">
        <f>SUMPRODUCT(ROUND(F104:F133,2))</f>
        <v/>
      </c>
      <c r="G134" s="70" t="str">
        <f>IFERROR(INDEX($F$1:$F$1001,ROW())/INDEX($D$1:$D$1001,ROW()),0)</f>
        <v/>
      </c>
      <c r="H134" s="71"/>
    </row>
    <row r="135" spans="2:8">
      <c r="B135" s="55" t="s">
        <v>143</v>
      </c>
      <c r="C135" s="56" t="str">
        <f>IF($E$2="","",VLOOKUP($E$2,Sprachversionen!$B:$BN,37,FALSE))</f>
        <v/>
      </c>
      <c r="D135" s="57"/>
      <c r="E135" s="57"/>
      <c r="F135" s="57"/>
      <c r="G135" s="58"/>
      <c r="H135" s="59"/>
    </row>
    <row r="136" spans="2:8">
      <c r="B136" s="60" t="s">
        <v>144</v>
      </c>
      <c r="C136" s="61"/>
      <c r="D136" s="62"/>
      <c r="E136" s="63"/>
      <c r="F136" s="64"/>
      <c r="G136" s="65" t="str">
        <f>IFERROR(INDEX($F$1:$F$1001,ROW())/INDEX($D$1:$D$1001,ROW()),0)</f>
        <v/>
      </c>
      <c r="H136" s="66"/>
    </row>
    <row r="137" spans="2:8">
      <c r="B137" s="60" t="s">
        <v>145</v>
      </c>
      <c r="C137" s="61"/>
      <c r="D137" s="62"/>
      <c r="E137" s="63"/>
      <c r="F137" s="64"/>
      <c r="G137" s="65" t="str">
        <f>IFERROR(INDEX($F$1:$F$1001,ROW())/INDEX($D$1:$D$1001,ROW()),0)</f>
        <v/>
      </c>
      <c r="H137" s="66"/>
    </row>
    <row r="138" spans="2:8">
      <c r="B138" s="60" t="s">
        <v>146</v>
      </c>
      <c r="C138" s="61"/>
      <c r="D138" s="62"/>
      <c r="E138" s="63"/>
      <c r="F138" s="64"/>
      <c r="G138" s="65" t="str">
        <f>IFERROR(INDEX($F$1:$F$1001,ROW())/INDEX($D$1:$D$1001,ROW()),0)</f>
        <v/>
      </c>
      <c r="H138" s="66"/>
    </row>
    <row r="139" spans="2:8">
      <c r="B139" s="60" t="s">
        <v>147</v>
      </c>
      <c r="C139" s="61"/>
      <c r="D139" s="62"/>
      <c r="E139" s="63"/>
      <c r="F139" s="64"/>
      <c r="G139" s="65" t="str">
        <f>IFERROR(INDEX($F$1:$F$1001,ROW())/INDEX($D$1:$D$1001,ROW()),0)</f>
        <v/>
      </c>
      <c r="H139" s="66"/>
    </row>
    <row r="140" spans="2:8">
      <c r="B140" s="60" t="s">
        <v>148</v>
      </c>
      <c r="C140" s="61"/>
      <c r="D140" s="62"/>
      <c r="E140" s="63"/>
      <c r="F140" s="64"/>
      <c r="G140" s="65" t="str">
        <f>IFERROR(INDEX($F$1:$F$1001,ROW())/INDEX($D$1:$D$1001,ROW()),0)</f>
        <v/>
      </c>
      <c r="H140" s="66"/>
    </row>
    <row r="141" spans="2:8">
      <c r="B141" s="60" t="s">
        <v>149</v>
      </c>
      <c r="C141" s="61"/>
      <c r="D141" s="62"/>
      <c r="E141" s="63"/>
      <c r="F141" s="64"/>
      <c r="G141" s="65" t="str">
        <f>IFERROR(INDEX($F$1:$F$1001,ROW())/INDEX($D$1:$D$1001,ROW()),0)</f>
        <v/>
      </c>
      <c r="H141" s="66"/>
    </row>
    <row r="142" spans="2:8">
      <c r="B142" s="60" t="s">
        <v>150</v>
      </c>
      <c r="C142" s="61"/>
      <c r="D142" s="62"/>
      <c r="E142" s="63"/>
      <c r="F142" s="64"/>
      <c r="G142" s="65" t="str">
        <f>IFERROR(INDEX($F$1:$F$1001,ROW())/INDEX($D$1:$D$1001,ROW()),0)</f>
        <v/>
      </c>
      <c r="H142" s="66"/>
    </row>
    <row r="143" spans="2:8">
      <c r="B143" s="60" t="s">
        <v>151</v>
      </c>
      <c r="C143" s="61"/>
      <c r="D143" s="62"/>
      <c r="E143" s="63"/>
      <c r="F143" s="64"/>
      <c r="G143" s="65" t="str">
        <f>IFERROR(INDEX($F$1:$F$1001,ROW())/INDEX($D$1:$D$1001,ROW()),0)</f>
        <v/>
      </c>
      <c r="H143" s="66"/>
    </row>
    <row r="144" spans="2:8">
      <c r="B144" s="60" t="s">
        <v>152</v>
      </c>
      <c r="C144" s="61"/>
      <c r="D144" s="62"/>
      <c r="E144" s="63"/>
      <c r="F144" s="64"/>
      <c r="G144" s="65" t="str">
        <f>IFERROR(INDEX($F$1:$F$1001,ROW())/INDEX($D$1:$D$1001,ROW()),0)</f>
        <v/>
      </c>
      <c r="H144" s="66"/>
    </row>
    <row r="145" spans="2:8">
      <c r="B145" s="60" t="s">
        <v>153</v>
      </c>
      <c r="C145" s="61"/>
      <c r="D145" s="62"/>
      <c r="E145" s="63"/>
      <c r="F145" s="64"/>
      <c r="G145" s="65" t="str">
        <f>IFERROR(INDEX($F$1:$F$1001,ROW())/INDEX($D$1:$D$1001,ROW()),0)</f>
        <v/>
      </c>
      <c r="H145" s="66"/>
    </row>
    <row r="146" spans="2:8">
      <c r="B146" s="60" t="s">
        <v>154</v>
      </c>
      <c r="C146" s="61"/>
      <c r="D146" s="62"/>
      <c r="E146" s="63"/>
      <c r="F146" s="64"/>
      <c r="G146" s="65" t="str">
        <f>IFERROR(INDEX($F$1:$F$1001,ROW())/INDEX($D$1:$D$1001,ROW()),0)</f>
        <v/>
      </c>
      <c r="H146" s="66"/>
    </row>
    <row r="147" spans="2:8">
      <c r="B147" s="60" t="s">
        <v>155</v>
      </c>
      <c r="C147" s="61"/>
      <c r="D147" s="62"/>
      <c r="E147" s="63"/>
      <c r="F147" s="64"/>
      <c r="G147" s="65" t="str">
        <f>IFERROR(INDEX($F$1:$F$1001,ROW())/INDEX($D$1:$D$1001,ROW()),0)</f>
        <v/>
      </c>
      <c r="H147" s="66"/>
    </row>
    <row r="148" spans="2:8">
      <c r="B148" s="60" t="s">
        <v>156</v>
      </c>
      <c r="C148" s="61"/>
      <c r="D148" s="62"/>
      <c r="E148" s="63"/>
      <c r="F148" s="64"/>
      <c r="G148" s="65" t="str">
        <f>IFERROR(INDEX($F$1:$F$1001,ROW())/INDEX($D$1:$D$1001,ROW()),0)</f>
        <v/>
      </c>
      <c r="H148" s="66"/>
    </row>
    <row r="149" spans="2:8">
      <c r="B149" s="60" t="s">
        <v>157</v>
      </c>
      <c r="C149" s="61"/>
      <c r="D149" s="62"/>
      <c r="E149" s="63"/>
      <c r="F149" s="64"/>
      <c r="G149" s="65" t="str">
        <f>IFERROR(INDEX($F$1:$F$1001,ROW())/INDEX($D$1:$D$1001,ROW()),0)</f>
        <v/>
      </c>
      <c r="H149" s="66"/>
    </row>
    <row r="150" spans="2:8">
      <c r="B150" s="60" t="s">
        <v>158</v>
      </c>
      <c r="C150" s="61"/>
      <c r="D150" s="62"/>
      <c r="E150" s="63"/>
      <c r="F150" s="64"/>
      <c r="G150" s="65" t="str">
        <f>IFERROR(INDEX($F$1:$F$1001,ROW())/INDEX($D$1:$D$1001,ROW()),0)</f>
        <v/>
      </c>
      <c r="H150" s="66"/>
    </row>
    <row r="151" spans="2:8">
      <c r="B151" s="60" t="s">
        <v>159</v>
      </c>
      <c r="C151" s="61"/>
      <c r="D151" s="62"/>
      <c r="E151" s="63"/>
      <c r="F151" s="64"/>
      <c r="G151" s="65" t="str">
        <f>IFERROR(INDEX($F$1:$F$1001,ROW())/INDEX($D$1:$D$1001,ROW()),0)</f>
        <v/>
      </c>
      <c r="H151" s="66"/>
    </row>
    <row r="152" spans="2:8">
      <c r="B152" s="60" t="s">
        <v>160</v>
      </c>
      <c r="C152" s="61"/>
      <c r="D152" s="62"/>
      <c r="E152" s="63"/>
      <c r="F152" s="64"/>
      <c r="G152" s="65" t="str">
        <f>IFERROR(INDEX($F$1:$F$1001,ROW())/INDEX($D$1:$D$1001,ROW()),0)</f>
        <v/>
      </c>
      <c r="H152" s="66"/>
    </row>
    <row r="153" spans="2:8">
      <c r="B153" s="60" t="s">
        <v>161</v>
      </c>
      <c r="C153" s="61"/>
      <c r="D153" s="62"/>
      <c r="E153" s="63"/>
      <c r="F153" s="64"/>
      <c r="G153" s="65" t="str">
        <f>IFERROR(INDEX($F$1:$F$1001,ROW())/INDEX($D$1:$D$1001,ROW()),0)</f>
        <v/>
      </c>
      <c r="H153" s="66"/>
    </row>
    <row r="154" spans="2:8">
      <c r="B154" s="60" t="s">
        <v>162</v>
      </c>
      <c r="C154" s="61"/>
      <c r="D154" s="62"/>
      <c r="E154" s="63"/>
      <c r="F154" s="64"/>
      <c r="G154" s="65" t="str">
        <f>IFERROR(INDEX($F$1:$F$1001,ROW())/INDEX($D$1:$D$1001,ROW()),0)</f>
        <v/>
      </c>
      <c r="H154" s="66"/>
    </row>
    <row r="155" spans="2:8">
      <c r="B155" s="60" t="s">
        <v>163</v>
      </c>
      <c r="C155" s="61"/>
      <c r="D155" s="62"/>
      <c r="E155" s="63"/>
      <c r="F155" s="64"/>
      <c r="G155" s="65" t="str">
        <f>IFERROR(INDEX($F$1:$F$1001,ROW())/INDEX($D$1:$D$1001,ROW()),0)</f>
        <v/>
      </c>
      <c r="H155" s="66"/>
    </row>
    <row r="156" spans="2:8">
      <c r="B156" s="67" t="str">
        <f>IF($E$2="","",VLOOKUP($E$2,Sprachversionen!$B:$BN,38,FALSE))</f>
        <v/>
      </c>
      <c r="C156" s="68"/>
      <c r="D156" s="69" t="str">
        <f>SUMPRODUCT(ROUND(D136:D155,2))</f>
        <v/>
      </c>
      <c r="E156" s="69" t="str">
        <f>SUMPRODUCT(ROUND(E136:E155,2))</f>
        <v/>
      </c>
      <c r="F156" s="69" t="str">
        <f>SUMPRODUCT(ROUND(F136:F155,2))</f>
        <v/>
      </c>
      <c r="G156" s="70" t="str">
        <f>IFERROR(INDEX($F$1:$F$1001,ROW())/INDEX($D$1:$D$1001,ROW()),0)</f>
        <v/>
      </c>
      <c r="H156" s="71"/>
    </row>
    <row r="157" spans="2:8">
      <c r="B157" s="55" t="s">
        <v>164</v>
      </c>
      <c r="C157" s="72" t="str">
        <f>IF($E$2="","",VLOOKUP($E$2,Sprachversionen!$B:$BN,39,FALSE))</f>
        <v/>
      </c>
      <c r="D157" s="62"/>
      <c r="E157" s="63"/>
      <c r="F157" s="64"/>
      <c r="G157" s="65" t="str">
        <f>IFERROR(INDEX($F$1:$F$1001,ROW())/INDEX($D$1:$D$1001,ROW()),0)</f>
        <v/>
      </c>
      <c r="H157" s="66"/>
    </row>
    <row r="158" spans="2:8">
      <c r="B158" s="55" t="s">
        <v>165</v>
      </c>
      <c r="C158" s="72" t="str">
        <f>IF($E$2="","",VLOOKUP($E$2,Sprachversionen!$B:$BN,40,FALSE))</f>
        <v/>
      </c>
      <c r="D158" s="62"/>
      <c r="E158" s="63"/>
      <c r="F158" s="64"/>
      <c r="G158" s="65" t="str">
        <f>IFERROR(INDEX($F$1:$F$1001,ROW())/INDEX($D$1:$D$1001,ROW()),0)</f>
        <v/>
      </c>
      <c r="H158" s="66"/>
    </row>
    <row r="159" spans="2:8">
      <c r="B159" s="55" t="s">
        <v>166</v>
      </c>
      <c r="C159" s="73" t="str">
        <f>IF($E$2="","",VLOOKUP($E$2,Sprachversionen!$B:$BN,41,FALSE))</f>
        <v/>
      </c>
      <c r="D159" s="62"/>
      <c r="E159" s="63"/>
      <c r="F159" s="64"/>
      <c r="G159" s="65" t="str">
        <f>IFERROR(INDEX($F$1:$F$1001,ROW())/INDEX($D$1:$D$1001,ROW()),0)</f>
        <v/>
      </c>
      <c r="H159" s="66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77" t="str">
        <f>IFERROR(INDEX($F$1:$F$1001,ROW())/INDEX($D$1:$D$1001,ROW()),0)</f>
        <v/>
      </c>
      <c r="H160" s="78"/>
    </row>
    <row r="164" spans="2:5">
      <c r="E164" s="80" t="str">
        <f>IF($E$2="","",VLOOKUP($E$2,Sprachversionen!$B:$BN,44,FALSE))</f>
        <v/>
      </c>
    </row>
    <row r="165" spans="2:5">
      <c r="B165" s="79" t="str">
        <f>IF($E$2="","",VLOOKUP($E$2,Sprachversionen!$B:$BN,43,FALSE))</f>
        <v/>
      </c>
      <c r="C165" s="79"/>
      <c r="D165" s="79"/>
      <c r="E165" s="80"/>
    </row>
    <row r="166" spans="2:5">
      <c r="B166" s="6"/>
      <c r="C166" s="6"/>
      <c r="D166" s="81"/>
      <c r="E166" s="81" t="str">
        <f>B13</f>
        <v/>
      </c>
    </row>
    <row r="168" spans="2:5">
      <c r="B168" s="56" t="str">
        <f>IF($E$2="","",VLOOKUP($E$2,Sprachversionen!$B:$BN,45,FALSE))</f>
        <v/>
      </c>
      <c r="C168" s="56"/>
      <c r="D168" s="82" t="str">
        <f>IF(ROUND(E168;2)=ROUND(F20-F160;2);"✓";"")</f>
        <v/>
      </c>
      <c r="E168" s="64" t="str">
        <f>E20-E160</f>
        <v/>
      </c>
    </row>
    <row r="170" spans="2:5">
      <c r="B170" s="56" t="str">
        <f>IF($E$2="","",VLOOKUP($E$2,Sprachversionen!$B:$BN,46,FALSE))</f>
        <v/>
      </c>
      <c r="C170" s="56"/>
      <c r="D170" s="56"/>
      <c r="E170" s="83" t="str">
        <f>IF(E168=SUM(E170:E172);"OK";"")</f>
        <v/>
      </c>
    </row>
    <row r="171" spans="2:5">
      <c r="B171" s="84" t="str">
        <f>IF($E$2="","",VLOOKUP($E$2,Sprachversionen!$B:$BN,47,FALSE))</f>
        <v/>
      </c>
      <c r="C171" s="84"/>
      <c r="D171" s="84"/>
      <c r="E171" s="64"/>
    </row>
    <row r="172" spans="2:5">
      <c r="B172" s="84" t="str">
        <f>IF($E$2="","",VLOOKUP($E$2,Sprachversionen!$B:$BN,48,FALSE))</f>
        <v/>
      </c>
      <c r="C172" s="84"/>
      <c r="D172" s="84"/>
      <c r="E172" s="64"/>
    </row>
    <row r="173" spans="2:5">
      <c r="B173" s="84" t="str">
        <f>IF($E$2="","",VLOOKUP($E$2,Sprachversionen!$B:$BN,49,FALSE))</f>
        <v/>
      </c>
      <c r="C173" s="84"/>
      <c r="D173" s="84"/>
      <c r="E173" s="64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5" t="str">
        <f>IF($E$2="","",VLOOKUP($E$2,Sprachversionen!$B:$BN,51,FALSE))</f>
        <v/>
      </c>
      <c r="C183" s="6"/>
      <c r="D183" s="85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231</v>
      </c>
      <c r="C2" t="s">
        <v>232</v>
      </c>
      <c r="D2" t="s">
        <v>233</v>
      </c>
      <c r="E2" t="s">
        <v>234</v>
      </c>
      <c r="F2" t="s">
        <v>235</v>
      </c>
      <c r="G2" t="s">
        <v>236</v>
      </c>
      <c r="H2" t="s">
        <v>237</v>
      </c>
      <c r="I2" t="s">
        <v>238</v>
      </c>
      <c r="J2" t="s">
        <v>239</v>
      </c>
      <c r="K2" t="s">
        <v>240</v>
      </c>
      <c r="L2" t="s">
        <v>241</v>
      </c>
      <c r="M2" t="s">
        <v>242</v>
      </c>
      <c r="N2" t="s">
        <v>243</v>
      </c>
      <c r="O2" t="s">
        <v>244</v>
      </c>
      <c r="P2" t="s">
        <v>245</v>
      </c>
      <c r="Q2" t="s">
        <v>246</v>
      </c>
      <c r="R2" t="s">
        <v>247</v>
      </c>
      <c r="S2" t="s">
        <v>248</v>
      </c>
      <c r="T2" t="s">
        <v>249</v>
      </c>
      <c r="U2" t="s">
        <v>250</v>
      </c>
      <c r="V2" t="s">
        <v>251</v>
      </c>
      <c r="W2" t="s">
        <v>252</v>
      </c>
      <c r="X2" t="s">
        <v>253</v>
      </c>
      <c r="Y2" t="s">
        <v>254</v>
      </c>
      <c r="Z2" t="s">
        <v>255</v>
      </c>
      <c r="AA2" t="s">
        <v>256</v>
      </c>
      <c r="AB2" t="s">
        <v>257</v>
      </c>
      <c r="AC2" t="s">
        <v>258</v>
      </c>
      <c r="AD2" t="s">
        <v>259</v>
      </c>
      <c r="AE2" t="s">
        <v>260</v>
      </c>
      <c r="AF2" t="s">
        <v>261</v>
      </c>
      <c r="AG2" t="s">
        <v>262</v>
      </c>
      <c r="AH2" t="s">
        <v>263</v>
      </c>
      <c r="AI2" t="s">
        <v>264</v>
      </c>
      <c r="AJ2" t="s">
        <v>265</v>
      </c>
      <c r="AK2" t="s">
        <v>266</v>
      </c>
      <c r="AL2" t="s">
        <v>267</v>
      </c>
      <c r="AM2" t="s">
        <v>268</v>
      </c>
      <c r="AN2" t="s">
        <v>269</v>
      </c>
      <c r="AO2" t="s">
        <v>207</v>
      </c>
      <c r="AP2" t="s">
        <v>270</v>
      </c>
      <c r="AQ2" t="s">
        <v>251</v>
      </c>
      <c r="AR2" t="s">
        <v>271</v>
      </c>
      <c r="AS2" t="s">
        <v>272</v>
      </c>
      <c r="AT2" t="s">
        <v>273</v>
      </c>
      <c r="AU2" t="s">
        <v>274</v>
      </c>
      <c r="AV2" t="s">
        <v>214</v>
      </c>
      <c r="AW2" t="s">
        <v>275</v>
      </c>
      <c r="AX2" t="s">
        <v>276</v>
      </c>
      <c r="AY2" t="s">
        <v>277</v>
      </c>
      <c r="AZ2" t="s">
        <v>278</v>
      </c>
      <c r="BA2" t="s">
        <v>279</v>
      </c>
      <c r="BB2" t="s">
        <v>280</v>
      </c>
      <c r="BC2" t="s">
        <v>281</v>
      </c>
      <c r="BD2" t="s">
        <v>282</v>
      </c>
      <c r="BE2" t="s">
        <v>283</v>
      </c>
      <c r="BF2" t="s">
        <v>284</v>
      </c>
      <c r="BG2" t="s">
        <v>285</v>
      </c>
      <c r="BH2" t="s">
        <v>286</v>
      </c>
      <c r="BI2" t="s">
        <v>287</v>
      </c>
      <c r="BJ2" t="s">
        <v>288</v>
      </c>
      <c r="BK2" t="s">
        <v>289</v>
      </c>
    </row>
    <row r="3" spans="1:63">
      <c r="A3" t="s">
        <v>290</v>
      </c>
      <c r="B3" t="s">
        <v>291</v>
      </c>
      <c r="C3" t="s">
        <v>292</v>
      </c>
      <c r="D3" t="s">
        <v>293</v>
      </c>
      <c r="E3" t="s">
        <v>294</v>
      </c>
      <c r="F3" t="s">
        <v>295</v>
      </c>
      <c r="G3" t="s">
        <v>296</v>
      </c>
      <c r="H3" t="s">
        <v>297</v>
      </c>
      <c r="I3" t="s">
        <v>297</v>
      </c>
      <c r="J3" t="s">
        <v>298</v>
      </c>
      <c r="K3" t="s">
        <v>299</v>
      </c>
      <c r="L3" t="s">
        <v>300</v>
      </c>
      <c r="M3" t="s">
        <v>301</v>
      </c>
      <c r="N3" t="s">
        <v>302</v>
      </c>
      <c r="O3" t="s">
        <v>303</v>
      </c>
      <c r="P3" t="s">
        <v>304</v>
      </c>
      <c r="Q3" t="s">
        <v>305</v>
      </c>
      <c r="R3" t="s">
        <v>306</v>
      </c>
      <c r="S3" t="s">
        <v>307</v>
      </c>
      <c r="T3" t="s">
        <v>308</v>
      </c>
      <c r="U3" t="s">
        <v>309</v>
      </c>
      <c r="V3" t="s">
        <v>310</v>
      </c>
      <c r="W3" t="s">
        <v>252</v>
      </c>
      <c r="X3" t="s">
        <v>311</v>
      </c>
      <c r="Y3" t="s">
        <v>312</v>
      </c>
      <c r="Z3" t="s">
        <v>313</v>
      </c>
      <c r="AA3" t="s">
        <v>314</v>
      </c>
      <c r="AB3" t="s">
        <v>315</v>
      </c>
      <c r="AC3" t="s">
        <v>316</v>
      </c>
      <c r="AD3" t="s">
        <v>317</v>
      </c>
      <c r="AE3" t="s">
        <v>318</v>
      </c>
      <c r="AF3" t="s">
        <v>319</v>
      </c>
      <c r="AG3" t="s">
        <v>320</v>
      </c>
      <c r="AH3" t="s">
        <v>321</v>
      </c>
      <c r="AI3" t="s">
        <v>322</v>
      </c>
      <c r="AJ3" t="s">
        <v>323</v>
      </c>
      <c r="AK3" t="s">
        <v>324</v>
      </c>
      <c r="AL3" t="s">
        <v>325</v>
      </c>
      <c r="AM3" t="s">
        <v>326</v>
      </c>
      <c r="AN3" t="s">
        <v>269</v>
      </c>
      <c r="AO3" t="s">
        <v>207</v>
      </c>
      <c r="AP3" t="s">
        <v>327</v>
      </c>
      <c r="AQ3" t="s">
        <v>310</v>
      </c>
      <c r="AR3" t="s">
        <v>328</v>
      </c>
      <c r="AS3" t="s">
        <v>329</v>
      </c>
      <c r="AT3" t="s">
        <v>330</v>
      </c>
      <c r="AU3" t="s">
        <v>331</v>
      </c>
      <c r="AV3" t="s">
        <v>332</v>
      </c>
      <c r="AW3" t="s">
        <v>333</v>
      </c>
      <c r="AX3" t="s">
        <v>334</v>
      </c>
      <c r="AY3" t="s">
        <v>335</v>
      </c>
      <c r="AZ3" t="s">
        <v>336</v>
      </c>
      <c r="BA3" t="s">
        <v>337</v>
      </c>
      <c r="BB3" t="s">
        <v>338</v>
      </c>
      <c r="BC3" t="s">
        <v>339</v>
      </c>
      <c r="BD3" t="s">
        <v>340</v>
      </c>
      <c r="BE3" t="s">
        <v>341</v>
      </c>
      <c r="BF3" t="s">
        <v>342</v>
      </c>
      <c r="BG3" t="s">
        <v>343</v>
      </c>
      <c r="BH3" t="s">
        <v>344</v>
      </c>
      <c r="BI3" t="s">
        <v>345</v>
      </c>
      <c r="BJ3" t="s">
        <v>346</v>
      </c>
      <c r="BK3" t="s">
        <v>347</v>
      </c>
    </row>
    <row r="4" spans="1:63">
      <c r="A4" t="s">
        <v>348</v>
      </c>
      <c r="B4" t="s">
        <v>1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310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251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343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310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251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343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Informe financiero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2026-01-18T22:37:28Z</dcterms:created>
  <dcterms:modified xsi:type="dcterms:W3CDTF">2026-01-18T22:37:28Z</dcterms:modified>
</cp:coreProperties>
</file>