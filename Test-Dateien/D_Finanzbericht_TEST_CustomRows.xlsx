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<sst xmlns="http://schemas.openxmlformats.org/spreadsheetml/2006/main" count="626" uniqueCount="607">
  <si>
    <t>_de</t>
  </si>
  <si>
    <t>deutsch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</si>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</sst>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2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7" t="str">
        <f>IF($E$2="","",VLOOKUP($E$2,Sprachversionen!$B:$BN,30,FALSE))</f>
        <v/>
      </c>
      <c r="C33" s="68"/>
      <c r="D33" s="69" t="str">
        <f>SUMPRODUCT(ROUND(D28:D32,2))</f>
        <v/>
      </c>
      <c r="E33" s="69" t="str">
        <f>SUMPRODUCT(ROUND(E28:E32,2))</f>
        <v/>
      </c>
      <c r="F33" s="69" t="str">
        <f>SUMPRODUCT(ROUND(F28:F32,2))</f>
        <v/>
      </c>
      <c r="G33" s="70" t="str">
        <f>IFERROR(INDEX($F$1:$F$1001,ROW())/INDEX($D$1:$D$1001,ROW()),0)</f>
        <v/>
      </c>
      <c r="H33" s="71"/>
    </row>
    <row r="34" spans="2:8">
      <c r="B34" s="55" t="s">
        <v>45</v>
      </c>
      <c r="C34" s="56" t="str">
        <f>IF($E$2="","",VLOOKUP($E$2,Sprachversionen!$B:$BN,31,FALSE))</f>
        <v/>
      </c>
      <c r="D34" s="57"/>
      <c r="E34" s="57"/>
      <c r="F34" s="57"/>
      <c r="G34" s="58"/>
      <c r="H34" s="59"/>
    </row>
    <row r="35" spans="2:8">
      <c r="B35" s="60" t="s">
        <v>46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47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48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49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50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51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52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53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54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55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56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57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58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0" t="s">
        <v>59</v>
      </c>
      <c r="C48" s="61"/>
      <c r="D48" s="62"/>
      <c r="E48" s="63"/>
      <c r="F48" s="64"/>
      <c r="G48" s="65" t="str">
        <f>IFERROR(INDEX($F$1:$F$1001,ROW())/INDEX($D$1:$D$1001,ROW()),0)</f>
        <v/>
      </c>
      <c r="H48" s="66"/>
    </row>
    <row r="49" spans="2:8">
      <c r="B49" s="60" t="s">
        <v>60</v>
      </c>
      <c r="C49" s="61"/>
      <c r="D49" s="62"/>
      <c r="E49" s="63"/>
      <c r="F49" s="64"/>
      <c r="G49" s="65" t="str">
        <f>IFERROR(INDEX($F$1:$F$1001,ROW())/INDEX($D$1:$D$1001,ROW()),0)</f>
        <v/>
      </c>
      <c r="H49" s="66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7" t="str">
        <f>IF($E$2="","",VLOOKUP($E$2,Sprachversionen!$B:$BN,32,FALSE))</f>
        <v/>
      </c>
      <c r="C65" s="68"/>
      <c r="D65" s="69" t="str">
        <f>SUMPRODUCT(ROUND(D35:D64,2))</f>
        <v/>
      </c>
      <c r="E65" s="69" t="str">
        <f>SUMPRODUCT(ROUND(E35:E64,2))</f>
        <v/>
      </c>
      <c r="F65" s="69" t="str">
        <f>SUMPRODUCT(ROUND(F35:F64,2))</f>
        <v/>
      </c>
      <c r="G65" s="70" t="str">
        <f>IFERROR(INDEX($F$1:$F$1001,ROW())/INDEX($D$1:$D$1001,ROW()),0)</f>
        <v/>
      </c>
      <c r="H65" s="71"/>
    </row>
    <row r="66" spans="2:8">
      <c r="B66" s="55" t="s">
        <v>76</v>
      </c>
      <c r="C66" s="56" t="str">
        <f>IF($E$2="","",VLOOKUP($E$2,Sprachversionen!$B:$BN,33,FALSE))</f>
        <v/>
      </c>
      <c r="D66" s="57"/>
      <c r="E66" s="57"/>
      <c r="F66" s="57"/>
      <c r="G66" s="58"/>
      <c r="H66" s="59"/>
    </row>
    <row r="67" spans="2:8">
      <c r="B67" s="60" t="s">
        <v>77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78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79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0" t="s">
        <v>80</v>
      </c>
      <c r="C70" s="61"/>
      <c r="D70" s="62"/>
      <c r="E70" s="63"/>
      <c r="F70" s="64"/>
      <c r="G70" s="65" t="str">
        <f>IFERROR(INDEX($F$1:$F$1001,ROW())/INDEX($D$1:$D$1001,ROW()),0)</f>
        <v/>
      </c>
      <c r="H70" s="66"/>
    </row>
    <row r="71" spans="2:8">
      <c r="B71" s="60" t="s">
        <v>81</v>
      </c>
      <c r="C71" s="61"/>
      <c r="D71" s="62"/>
      <c r="E71" s="63"/>
      <c r="F71" s="64"/>
      <c r="G71" s="65" t="str">
        <f>IFERROR(INDEX($F$1:$F$1001,ROW())/INDEX($D$1:$D$1001,ROW()),0)</f>
        <v/>
      </c>
      <c r="H71" s="66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7" t="str">
        <f>IF($E$2="","",VLOOKUP($E$2,Sprachversionen!$B:$BN,34,FALSE))</f>
        <v/>
      </c>
      <c r="C97" s="68"/>
      <c r="D97" s="69" t="str">
        <f>SUMPRODUCT(ROUND(D67:D96,2))</f>
        <v/>
      </c>
      <c r="E97" s="69" t="str">
        <f>SUMPRODUCT(ROUND(E67:E96,2))</f>
        <v/>
      </c>
      <c r="F97" s="69" t="str">
        <f>SUMPRODUCT(ROUND(F67:F96,2))</f>
        <v/>
      </c>
      <c r="G97" s="70" t="str">
        <f>IFERROR(INDEX($F$1:$F$1001,ROW())/INDEX($D$1:$D$1001,ROW()),0)</f>
        <v/>
      </c>
      <c r="H97" s="71"/>
    </row>
    <row r="98" spans="2:8">
      <c r="B98" s="55" t="s">
        <v>107</v>
      </c>
      <c r="C98" s="56" t="str">
        <f>IF($E$2="","",VLOOKUP($E$2,Sprachversionen!$B:$BN,35,FALSE))</f>
        <v/>
      </c>
      <c r="D98" s="57"/>
      <c r="E98" s="57"/>
      <c r="F98" s="57"/>
      <c r="G98" s="58"/>
      <c r="H98" s="59"/>
    </row>
    <row r="99" spans="2:8">
      <c r="B99" s="60" t="s">
        <v>108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109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110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0" t="s">
        <v>111</v>
      </c>
      <c r="C102" s="61"/>
      <c r="D102" s="62"/>
      <c r="E102" s="63"/>
      <c r="F102" s="64"/>
      <c r="G102" s="65" t="str">
        <f>IFERROR(INDEX($F$1:$F$1001,ROW())/INDEX($D$1:$D$1001,ROW()),0)</f>
        <v/>
      </c>
      <c r="H102" s="66"/>
    </row>
    <row r="103" spans="2:8">
      <c r="B103" s="60" t="s">
        <v>112</v>
      </c>
      <c r="C103" s="61"/>
      <c r="D103" s="62"/>
      <c r="E103" s="63"/>
      <c r="F103" s="64"/>
      <c r="G103" s="65" t="str">
        <f>IFERROR(INDEX($F$1:$F$1001,ROW())/INDEX($D$1:$D$1001,ROW()),0)</f>
        <v/>
      </c>
      <c r="H103" s="66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7" t="str">
        <f>IF($E$2="","",VLOOKUP($E$2,Sprachversionen!$B:$BN,36,FALSE))</f>
        <v/>
      </c>
      <c r="C129" s="68"/>
      <c r="D129" s="69" t="str">
        <f>SUMPRODUCT(ROUND(D99:D128,2))</f>
        <v/>
      </c>
      <c r="E129" s="69" t="str">
        <f>SUMPRODUCT(ROUND(E99:E128,2))</f>
        <v/>
      </c>
      <c r="F129" s="69" t="str">
        <f>SUMPRODUCT(ROUND(F99:F128,2))</f>
        <v/>
      </c>
      <c r="G129" s="70" t="str">
        <f>IFERROR(INDEX($F$1:$F$1001,ROW())/INDEX($D$1:$D$1001,ROW()),0)</f>
        <v/>
      </c>
      <c r="H129" s="71"/>
    </row>
    <row r="130" spans="2:8">
      <c r="B130" s="55" t="s">
        <v>138</v>
      </c>
      <c r="C130" s="56" t="str">
        <f>IF($E$2="","",VLOOKUP($E$2,Sprachversionen!$B:$BN,37,FALSE))</f>
        <v/>
      </c>
      <c r="D130" s="57"/>
      <c r="E130" s="57"/>
      <c r="F130" s="57"/>
      <c r="G130" s="58"/>
      <c r="H130" s="59"/>
    </row>
    <row r="131" spans="2:8">
      <c r="B131" s="60" t="s">
        <v>139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140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141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0" t="s">
        <v>142</v>
      </c>
      <c r="C134" s="61"/>
      <c r="D134" s="62"/>
      <c r="E134" s="63"/>
      <c r="F134" s="64"/>
      <c r="G134" s="65" t="str">
        <f>IFERROR(INDEX($F$1:$F$1001,ROW())/INDEX($D$1:$D$1001,ROW()),0)</f>
        <v/>
      </c>
      <c r="H134" s="66"/>
    </row>
    <row r="135" spans="2:8">
      <c r="B135" s="60" t="s">
        <v>143</v>
      </c>
      <c r="C135" s="61"/>
      <c r="D135" s="62"/>
      <c r="E135" s="63"/>
      <c r="F135" s="64"/>
      <c r="G135" s="65" t="str">
        <f>IFERROR(INDEX($F$1:$F$1001,ROW())/INDEX($D$1:$D$1001,ROW()),0)</f>
        <v/>
      </c>
      <c r="H135" s="66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7" t="str">
        <f>IF($E$2="","",VLOOKUP($E$2,Sprachversionen!$B:$BN,38,FALSE))</f>
        <v/>
      </c>
      <c r="C151" s="68"/>
      <c r="D151" s="69" t="str">
        <f>SUMPRODUCT(ROUND(D131:D150,2))</f>
        <v/>
      </c>
      <c r="E151" s="69" t="str">
        <f>SUMPRODUCT(ROUND(E131:E150,2))</f>
        <v/>
      </c>
      <c r="F151" s="69" t="str">
        <f>SUMPRODUCT(ROUND(F131:F150,2))</f>
        <v/>
      </c>
      <c r="G151" s="70" t="str">
        <f>IFERROR(INDEX($F$1:$F$1001,ROW())/INDEX($D$1:$D$1001,ROW()),0)</f>
        <v/>
      </c>
      <c r="H151" s="71"/>
    </row>
    <row r="152" spans="2:8">
      <c r="B152" s="55" t="s">
        <v>159</v>
      </c>
      <c r="C152" s="72" t="str">
        <f>IF($E$2="","",VLOOKUP($E$2,Sprachversionen!$B:$BN,39,FALSE))</f>
        <v/>
      </c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55" t="s">
        <v>160</v>
      </c>
      <c r="C153" s="72" t="str">
        <f>IF($E$2="","",VLOOKUP($E$2,Sprachversionen!$B:$BN,40,FALSE))</f>
        <v/>
      </c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55" t="s">
        <v>161</v>
      </c>
      <c r="C154" s="73" t="str">
        <f>IF($E$2="","",VLOOKUP($E$2,Sprachversionen!$B:$BN,41,FALSE))</f>
        <v/>
      </c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74" t="str">
        <f>IF($E$2="","",VLOOKUP($E$2,Sprachversionen!$B:$BN,42,FALSE))</f>
        <v/>
      </c>
      <c r="C155" s="75"/>
      <c r="D155" s="76" t="str">
        <f>SUM(D33+D65+D97+D129+D151+D152+D153+D154)</f>
        <v/>
      </c>
      <c r="E155" s="76" t="str">
        <f>SUM(E33+E65+E97+E129+E151+E152+E153+E154)</f>
        <v/>
      </c>
      <c r="F155" s="76" t="str">
        <f>SUM(F33+F65+F97+F129+F151+F152+F153+F154)</f>
        <v/>
      </c>
      <c r="G155" s="77" t="str">
        <f>IFERROR(INDEX($F$1:$F$1001,ROW())/INDEX($D$1:$D$1001,ROW()),0)</f>
        <v/>
      </c>
      <c r="H155" s="78"/>
    </row>
    <row r="159" spans="2:8">
      <c r="E159" s="80" t="str">
        <f>IF($E$2="","",VLOOKUP($E$2,Sprachversionen!$B:$BN,44,FALSE))</f>
        <v/>
      </c>
    </row>
    <row r="160" spans="2:8">
      <c r="B160" s="79" t="str">
        <f>IF($E$2="","",VLOOKUP($E$2,Sprachversionen!$B:$BN,43,FALSE))</f>
        <v/>
      </c>
      <c r="C160" s="79"/>
      <c r="D160" s="79"/>
      <c r="E160" s="80"/>
    </row>
    <row r="161" spans="2:5">
      <c r="B161" s="6"/>
      <c r="C161" s="6"/>
      <c r="D161" s="81"/>
      <c r="E161" s="81" t="str">
        <f>B13</f>
        <v/>
      </c>
    </row>
    <row r="163" spans="2:5">
      <c r="B163" s="56" t="str">
        <f>IF($E$2="","",VLOOKUP($E$2,Sprachversionen!$B:$BN,45,FALSE))</f>
        <v/>
      </c>
      <c r="C163" s="56"/>
      <c r="D163" s="82" t="str">
        <f>IF(ROUND(E163;2)=ROUND(F20-F155;2);"✓";"")</f>
        <v/>
      </c>
      <c r="E163" s="64" t="str">
        <f>E20-E155</f>
        <v/>
      </c>
    </row>
    <row r="165" spans="2:5">
      <c r="B165" s="56" t="str">
        <f>IF($E$2="","",VLOOKUP($E$2,Sprachversionen!$B:$BN,46,FALSE))</f>
        <v/>
      </c>
      <c r="C165" s="56"/>
      <c r="D165" s="56"/>
      <c r="E165" s="83" t="str">
        <f>IF(E163=SUM(E165:E167);"OK";"")</f>
        <v/>
      </c>
    </row>
    <row r="166" spans="2:5">
      <c r="B166" s="84" t="str">
        <f>IF($E$2="","",VLOOKUP($E$2,Sprachversionen!$B:$BN,47,FALSE))</f>
        <v/>
      </c>
      <c r="C166" s="84"/>
      <c r="D166" s="84"/>
      <c r="E166" s="64"/>
    </row>
    <row r="167" spans="2:5">
      <c r="B167" s="84" t="str">
        <f>IF($E$2="","",VLOOKUP($E$2,Sprachversionen!$B:$BN,48,FALSE))</f>
        <v/>
      </c>
      <c r="C167" s="84"/>
      <c r="D167" s="84"/>
      <c r="E167" s="64"/>
    </row>
    <row r="168" spans="2:5">
      <c r="B168" s="84" t="str">
        <f>IF($E$2="","",VLOOKUP($E$2,Sprachversionen!$B:$BN,49,FALSE))</f>
        <v/>
      </c>
      <c r="C168" s="84"/>
      <c r="D168" s="84"/>
      <c r="E168" s="64"/>
    </row>
    <row r="169" spans="2:5">
      <c r="B169" s="6"/>
      <c r="C169" s="6"/>
      <c r="D169" s="6"/>
      <c r="E169" s="6"/>
    </row>
    <row r="170" spans="2:5">
      <c r="B170" s="6"/>
      <c r="C170" s="6"/>
      <c r="D170" s="6"/>
      <c r="E170" s="6"/>
    </row>
    <row r="171" spans="2:5">
      <c r="B171" s="6"/>
      <c r="C171" s="6"/>
      <c r="D171" s="6"/>
      <c r="E171" s="6"/>
    </row>
    <row r="172" spans="2:5">
      <c r="B172" s="6" t="str">
        <f>IF($E$2="","",VLOOKUP($E$2,Sprachversionen!$B:$BN,50,FALSE))</f>
        <v/>
      </c>
    </row>
    <row r="173" spans="2:5">
      <c r="B173" s="6" t="str">
        <f>IF($E$2="","",VLOOKUP($E$2,Sprachversionen!$B:$BN,54,FALSE))</f>
        <v/>
      </c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/>
      <c r="C177" s="6"/>
      <c r="D177" s="6"/>
      <c r="E177" s="6"/>
    </row>
    <row r="178" spans="2:5">
      <c r="B178" s="85" t="str">
        <f>IF($E$2="","",VLOOKUP($E$2,Sprachversionen!$B:$BN,51,FALSE))</f>
        <v/>
      </c>
      <c r="C178" s="6"/>
      <c r="D178" s="85" t="str">
        <f>IF($E$2="","",VLOOKUP($E$2,Sprachversionen!$B:$BN,52,FALSE))</f>
        <v/>
      </c>
      <c r="E178" s="6"/>
    </row>
    <row r="179" spans="2:5">
      <c r="B179" s="6"/>
      <c r="C179" s="6"/>
      <c r="D179" s="6"/>
      <c r="E179" s="6"/>
    </row>
    <row r="182" spans="2:5">
      <c r="B182" s="37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0:D160"/>
    <mergeCell ref="E159:E160"/>
    <mergeCell ref="B161:C161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162</v>
      </c>
      <c r="B1" t="s">
        <v>1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  <c r="M1" t="s">
        <v>173</v>
      </c>
      <c r="N1" t="s">
        <v>174</v>
      </c>
      <c r="O1" t="s">
        <v>175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  <c r="BA1" t="s">
        <v>213</v>
      </c>
      <c r="BB1" t="s">
        <v>214</v>
      </c>
      <c r="BC1" t="s">
        <v>215</v>
      </c>
      <c r="BD1" t="s">
        <v>216</v>
      </c>
      <c r="BE1" t="s">
        <v>217</v>
      </c>
      <c r="BF1" t="s">
        <v>218</v>
      </c>
      <c r="BG1" t="s">
        <v>219</v>
      </c>
      <c r="BH1" t="s">
        <v>220</v>
      </c>
      <c r="BI1" t="s">
        <v>221</v>
      </c>
      <c r="BJ1" t="s">
        <v>222</v>
      </c>
      <c r="BK1" t="s">
        <v>223</v>
      </c>
    </row>
    <row r="2" spans="1:63">
      <c r="A2" t="s">
        <v>224</v>
      </c>
      <c r="B2" t="s">
        <v>225</v>
      </c>
      <c r="C2" t="s">
        <v>226</v>
      </c>
      <c r="D2" t="s">
        <v>227</v>
      </c>
      <c r="E2" t="s">
        <v>228</v>
      </c>
      <c r="F2" t="s">
        <v>229</v>
      </c>
      <c r="G2" t="s">
        <v>230</v>
      </c>
      <c r="H2" t="s">
        <v>231</v>
      </c>
      <c r="I2" t="s">
        <v>232</v>
      </c>
      <c r="J2" t="s">
        <v>233</v>
      </c>
      <c r="K2" t="s">
        <v>234</v>
      </c>
      <c r="L2" t="s">
        <v>235</v>
      </c>
      <c r="M2" t="s">
        <v>236</v>
      </c>
      <c r="N2" t="s">
        <v>237</v>
      </c>
      <c r="O2" t="s">
        <v>238</v>
      </c>
      <c r="P2" t="s">
        <v>239</v>
      </c>
      <c r="Q2" t="s">
        <v>240</v>
      </c>
      <c r="R2" t="s">
        <v>241</v>
      </c>
      <c r="S2" t="s">
        <v>242</v>
      </c>
      <c r="T2" t="s">
        <v>243</v>
      </c>
      <c r="U2" t="s">
        <v>244</v>
      </c>
      <c r="V2" t="s">
        <v>245</v>
      </c>
      <c r="W2" t="s">
        <v>246</v>
      </c>
      <c r="X2" t="s">
        <v>247</v>
      </c>
      <c r="Y2" t="s">
        <v>248</v>
      </c>
      <c r="Z2" t="s">
        <v>249</v>
      </c>
      <c r="AA2" t="s">
        <v>250</v>
      </c>
      <c r="AB2" t="s">
        <v>251</v>
      </c>
      <c r="AC2" t="s">
        <v>252</v>
      </c>
      <c r="AD2" t="s">
        <v>253</v>
      </c>
      <c r="AE2" t="s">
        <v>254</v>
      </c>
      <c r="AF2" t="s">
        <v>255</v>
      </c>
      <c r="AG2" t="s">
        <v>256</v>
      </c>
      <c r="AH2" t="s">
        <v>257</v>
      </c>
      <c r="AI2" t="s">
        <v>258</v>
      </c>
      <c r="AJ2" t="s">
        <v>259</v>
      </c>
      <c r="AK2" t="s">
        <v>260</v>
      </c>
      <c r="AL2" t="s">
        <v>261</v>
      </c>
      <c r="AM2" t="s">
        <v>262</v>
      </c>
      <c r="AN2" t="s">
        <v>263</v>
      </c>
      <c r="AO2" t="s">
        <v>201</v>
      </c>
      <c r="AP2" t="s">
        <v>264</v>
      </c>
      <c r="AQ2" t="s">
        <v>245</v>
      </c>
      <c r="AR2" t="s">
        <v>265</v>
      </c>
      <c r="AS2" t="s">
        <v>266</v>
      </c>
      <c r="AT2" t="s">
        <v>267</v>
      </c>
      <c r="AU2" t="s">
        <v>268</v>
      </c>
      <c r="AV2" t="s">
        <v>208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</row>
    <row r="3" spans="1:63">
      <c r="A3" t="s">
        <v>284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291</v>
      </c>
      <c r="J3" t="s">
        <v>292</v>
      </c>
      <c r="K3" t="s">
        <v>293</v>
      </c>
      <c r="L3" t="s">
        <v>294</v>
      </c>
      <c r="M3" t="s">
        <v>295</v>
      </c>
      <c r="N3" t="s">
        <v>296</v>
      </c>
      <c r="O3" t="s">
        <v>297</v>
      </c>
      <c r="P3" t="s">
        <v>298</v>
      </c>
      <c r="Q3" t="s">
        <v>299</v>
      </c>
      <c r="R3" t="s">
        <v>300</v>
      </c>
      <c r="S3" t="s">
        <v>301</v>
      </c>
      <c r="T3" t="s">
        <v>302</v>
      </c>
      <c r="U3" t="s">
        <v>303</v>
      </c>
      <c r="V3" t="s">
        <v>304</v>
      </c>
      <c r="W3" t="s">
        <v>246</v>
      </c>
      <c r="X3" t="s">
        <v>305</v>
      </c>
      <c r="Y3" t="s">
        <v>306</v>
      </c>
      <c r="Z3" t="s">
        <v>307</v>
      </c>
      <c r="AA3" t="s">
        <v>308</v>
      </c>
      <c r="AB3" t="s">
        <v>309</v>
      </c>
      <c r="AC3" t="s">
        <v>310</v>
      </c>
      <c r="AD3" t="s">
        <v>311</v>
      </c>
      <c r="AE3" t="s">
        <v>312</v>
      </c>
      <c r="AF3" t="s">
        <v>313</v>
      </c>
      <c r="AG3" t="s">
        <v>314</v>
      </c>
      <c r="AH3" t="s">
        <v>315</v>
      </c>
      <c r="AI3" t="s">
        <v>316</v>
      </c>
      <c r="AJ3" t="s">
        <v>317</v>
      </c>
      <c r="AK3" t="s">
        <v>318</v>
      </c>
      <c r="AL3" t="s">
        <v>319</v>
      </c>
      <c r="AM3" t="s">
        <v>320</v>
      </c>
      <c r="AN3" t="s">
        <v>263</v>
      </c>
      <c r="AO3" t="s">
        <v>201</v>
      </c>
      <c r="AP3" t="s">
        <v>321</v>
      </c>
      <c r="AQ3" t="s">
        <v>304</v>
      </c>
      <c r="AR3" t="s">
        <v>322</v>
      </c>
      <c r="AS3" t="s">
        <v>323</v>
      </c>
      <c r="AT3" t="s">
        <v>324</v>
      </c>
      <c r="AU3" t="s">
        <v>325</v>
      </c>
      <c r="AV3" t="s">
        <v>326</v>
      </c>
      <c r="AW3" t="s">
        <v>327</v>
      </c>
      <c r="AX3" t="s">
        <v>328</v>
      </c>
      <c r="AY3" t="s">
        <v>329</v>
      </c>
      <c r="AZ3" t="s">
        <v>330</v>
      </c>
      <c r="BA3" t="s">
        <v>331</v>
      </c>
      <c r="BB3" t="s">
        <v>332</v>
      </c>
      <c r="BC3" t="s">
        <v>333</v>
      </c>
      <c r="BD3" t="s">
        <v>334</v>
      </c>
      <c r="BE3" t="s">
        <v>335</v>
      </c>
      <c r="BF3" t="s">
        <v>336</v>
      </c>
      <c r="BG3" t="s">
        <v>337</v>
      </c>
      <c r="BH3" t="s">
        <v>338</v>
      </c>
      <c r="BI3" t="s">
        <v>339</v>
      </c>
      <c r="BJ3" t="s">
        <v>340</v>
      </c>
      <c r="BK3" t="s">
        <v>341</v>
      </c>
    </row>
    <row r="4" spans="1:63">
      <c r="A4" t="s">
        <v>342</v>
      </c>
      <c r="B4" t="s">
        <v>343</v>
      </c>
      <c r="C4" t="s">
        <v>344</v>
      </c>
      <c r="D4" t="s">
        <v>345</v>
      </c>
      <c r="E4" t="s">
        <v>346</v>
      </c>
      <c r="F4" t="s">
        <v>347</v>
      </c>
      <c r="G4" t="s">
        <v>348</v>
      </c>
      <c r="H4" t="s">
        <v>349</v>
      </c>
      <c r="I4" t="s">
        <v>350</v>
      </c>
      <c r="J4" t="s">
        <v>351</v>
      </c>
      <c r="K4" t="s">
        <v>352</v>
      </c>
      <c r="L4" t="s">
        <v>353</v>
      </c>
      <c r="M4" t="s">
        <v>354</v>
      </c>
      <c r="N4" t="s">
        <v>355</v>
      </c>
      <c r="O4" t="s">
        <v>356</v>
      </c>
      <c r="P4" t="s">
        <v>357</v>
      </c>
      <c r="Q4" t="s">
        <v>358</v>
      </c>
      <c r="R4" t="s">
        <v>359</v>
      </c>
      <c r="S4" t="s">
        <v>360</v>
      </c>
      <c r="T4" t="s">
        <v>361</v>
      </c>
      <c r="U4" t="s">
        <v>362</v>
      </c>
      <c r="V4" t="s">
        <v>304</v>
      </c>
      <c r="W4" t="s">
        <v>363</v>
      </c>
      <c r="X4" t="s">
        <v>364</v>
      </c>
      <c r="Y4" t="s">
        <v>365</v>
      </c>
      <c r="Z4" t="s">
        <v>366</v>
      </c>
      <c r="AA4" t="s">
        <v>367</v>
      </c>
      <c r="AB4" t="s">
        <v>368</v>
      </c>
      <c r="AC4" t="s">
        <v>369</v>
      </c>
      <c r="AD4" t="s">
        <v>370</v>
      </c>
      <c r="AE4" t="s">
        <v>371</v>
      </c>
      <c r="AF4" t="s">
        <v>372</v>
      </c>
      <c r="AG4" t="s">
        <v>373</v>
      </c>
      <c r="AH4" t="s">
        <v>374</v>
      </c>
      <c r="AI4" t="s">
        <v>375</v>
      </c>
      <c r="AJ4" t="s">
        <v>376</v>
      </c>
      <c r="AK4" t="s">
        <v>377</v>
      </c>
      <c r="AL4" t="s">
        <v>378</v>
      </c>
      <c r="AM4" t="s">
        <v>379</v>
      </c>
      <c r="AN4" t="s">
        <v>380</v>
      </c>
      <c r="AO4" t="s">
        <v>381</v>
      </c>
      <c r="AP4" t="s">
        <v>382</v>
      </c>
      <c r="AQ4" t="s">
        <v>245</v>
      </c>
      <c r="AR4" t="s">
        <v>383</v>
      </c>
      <c r="AS4" t="s">
        <v>384</v>
      </c>
      <c r="AT4" t="s">
        <v>385</v>
      </c>
      <c r="AU4" t="s">
        <v>386</v>
      </c>
      <c r="AV4" t="s">
        <v>387</v>
      </c>
      <c r="AW4" t="s">
        <v>388</v>
      </c>
      <c r="AX4" t="s">
        <v>389</v>
      </c>
      <c r="AY4" t="s">
        <v>390</v>
      </c>
      <c r="AZ4" t="s">
        <v>391</v>
      </c>
      <c r="BA4" t="s">
        <v>392</v>
      </c>
      <c r="BB4" t="s">
        <v>393</v>
      </c>
      <c r="BC4" t="s">
        <v>394</v>
      </c>
      <c r="BD4" t="s">
        <v>395</v>
      </c>
      <c r="BE4" t="s">
        <v>396</v>
      </c>
      <c r="BF4" t="s">
        <v>397</v>
      </c>
      <c r="BG4" t="s">
        <v>337</v>
      </c>
      <c r="BH4" t="s">
        <v>398</v>
      </c>
      <c r="BI4" t="s">
        <v>399</v>
      </c>
      <c r="BJ4" t="s">
        <v>400</v>
      </c>
      <c r="BK4" t="s">
        <v>401</v>
      </c>
    </row>
    <row r="5" spans="1:63">
      <c r="A5" t="s">
        <v>402</v>
      </c>
      <c r="B5" t="s">
        <v>403</v>
      </c>
      <c r="C5" t="s">
        <v>404</v>
      </c>
      <c r="D5" t="s">
        <v>405</v>
      </c>
      <c r="E5" t="s">
        <v>406</v>
      </c>
      <c r="F5" t="s">
        <v>407</v>
      </c>
      <c r="G5" t="s">
        <v>408</v>
      </c>
      <c r="H5" t="s">
        <v>349</v>
      </c>
      <c r="I5" t="s">
        <v>409</v>
      </c>
      <c r="J5" t="s">
        <v>410</v>
      </c>
      <c r="K5" t="s">
        <v>411</v>
      </c>
      <c r="L5" t="s">
        <v>412</v>
      </c>
      <c r="M5" t="s">
        <v>413</v>
      </c>
      <c r="N5" t="s">
        <v>414</v>
      </c>
      <c r="O5" t="s">
        <v>415</v>
      </c>
      <c r="P5" t="s">
        <v>416</v>
      </c>
      <c r="Q5" t="s">
        <v>417</v>
      </c>
      <c r="R5" t="s">
        <v>418</v>
      </c>
      <c r="S5" t="s">
        <v>419</v>
      </c>
      <c r="T5" t="s">
        <v>420</v>
      </c>
      <c r="U5" t="s">
        <v>421</v>
      </c>
      <c r="V5" t="s">
        <v>304</v>
      </c>
      <c r="W5" t="s">
        <v>422</v>
      </c>
      <c r="X5" t="s">
        <v>423</v>
      </c>
      <c r="Y5" t="s">
        <v>424</v>
      </c>
      <c r="Z5" t="s">
        <v>425</v>
      </c>
      <c r="AA5" t="s">
        <v>426</v>
      </c>
      <c r="AB5" t="s">
        <v>368</v>
      </c>
      <c r="AC5" t="s">
        <v>427</v>
      </c>
      <c r="AD5" t="s">
        <v>428</v>
      </c>
      <c r="AE5" t="s">
        <v>429</v>
      </c>
      <c r="AF5" t="s">
        <v>430</v>
      </c>
      <c r="AG5" t="s">
        <v>431</v>
      </c>
      <c r="AH5" t="s">
        <v>432</v>
      </c>
      <c r="AI5" t="s">
        <v>433</v>
      </c>
      <c r="AJ5" t="s">
        <v>434</v>
      </c>
      <c r="AK5" t="s">
        <v>435</v>
      </c>
      <c r="AL5" t="s">
        <v>436</v>
      </c>
      <c r="AM5" t="s">
        <v>437</v>
      </c>
      <c r="AN5" t="s">
        <v>438</v>
      </c>
      <c r="AO5" t="s">
        <v>439</v>
      </c>
      <c r="AP5" t="s">
        <v>440</v>
      </c>
      <c r="AQ5" t="s">
        <v>245</v>
      </c>
      <c r="AR5" t="s">
        <v>441</v>
      </c>
      <c r="AS5" t="s">
        <v>442</v>
      </c>
      <c r="AT5" t="s">
        <v>443</v>
      </c>
      <c r="AU5" t="s">
        <v>444</v>
      </c>
      <c r="AV5" t="s">
        <v>387</v>
      </c>
      <c r="AW5" t="s">
        <v>445</v>
      </c>
      <c r="AX5" t="s">
        <v>446</v>
      </c>
      <c r="AY5" t="s">
        <v>447</v>
      </c>
      <c r="AZ5" t="s">
        <v>448</v>
      </c>
      <c r="BA5" t="s">
        <v>449</v>
      </c>
      <c r="BB5" t="s">
        <v>450</v>
      </c>
      <c r="BC5" t="s">
        <v>451</v>
      </c>
      <c r="BD5" t="s">
        <v>452</v>
      </c>
      <c r="BE5" t="s">
        <v>453</v>
      </c>
      <c r="BF5" t="s">
        <v>454</v>
      </c>
      <c r="BG5" t="s">
        <v>337</v>
      </c>
      <c r="BH5" t="s">
        <v>455</v>
      </c>
      <c r="BI5" t="s">
        <v>456</v>
      </c>
      <c r="BJ5" t="s">
        <v>457</v>
      </c>
      <c r="BK5" t="s">
        <v>458</v>
      </c>
    </row>
    <row r="6" spans="1:63">
      <c r="A6" t="s">
        <v>459</v>
      </c>
    </row>
    <row r="7" spans="1:63">
      <c r="A7" t="s">
        <v>460</v>
      </c>
    </row>
    <row r="8" spans="1:63">
      <c r="A8" t="s">
        <v>461</v>
      </c>
    </row>
    <row r="9" spans="1:63">
      <c r="A9" t="s">
        <v>462</v>
      </c>
    </row>
    <row r="10" spans="1:63">
      <c r="A10" t="s">
        <v>463</v>
      </c>
    </row>
    <row r="11" spans="1:63">
      <c r="A11" t="s">
        <v>464</v>
      </c>
    </row>
    <row r="12" spans="1:63">
      <c r="A12" t="s">
        <v>465</v>
      </c>
    </row>
    <row r="13" spans="1:63">
      <c r="A13" t="s">
        <v>466</v>
      </c>
    </row>
    <row r="14" spans="1:63">
      <c r="A14" t="s">
        <v>467</v>
      </c>
    </row>
    <row r="15" spans="1:63">
      <c r="A15" t="s">
        <v>468</v>
      </c>
    </row>
    <row r="16" spans="1:63">
      <c r="A16" t="s">
        <v>469</v>
      </c>
    </row>
    <row r="17" spans="1:1">
      <c r="A17" t="s">
        <v>470</v>
      </c>
    </row>
    <row r="18" spans="1:1">
      <c r="A18" t="s">
        <v>471</v>
      </c>
    </row>
    <row r="19" spans="1:1">
      <c r="A19" t="s">
        <v>472</v>
      </c>
    </row>
    <row r="20" spans="1:1">
      <c r="A20" t="s">
        <v>473</v>
      </c>
    </row>
    <row r="21" spans="1:1">
      <c r="A21" t="s">
        <v>474</v>
      </c>
    </row>
    <row r="22" spans="1:1">
      <c r="A22" t="s">
        <v>475</v>
      </c>
    </row>
    <row r="23" spans="1:1">
      <c r="A23" t="s">
        <v>476</v>
      </c>
    </row>
    <row r="24" spans="1:1">
      <c r="A24" t="s">
        <v>477</v>
      </c>
    </row>
    <row r="25" spans="1:1">
      <c r="A25" t="s">
        <v>478</v>
      </c>
    </row>
    <row r="26" spans="1:1">
      <c r="A26" t="s">
        <v>479</v>
      </c>
    </row>
    <row r="27" spans="1:1">
      <c r="A27" t="s">
        <v>480</v>
      </c>
    </row>
    <row r="28" spans="1:1">
      <c r="A28" t="s">
        <v>481</v>
      </c>
    </row>
    <row r="29" spans="1:1">
      <c r="A29" t="s">
        <v>482</v>
      </c>
    </row>
    <row r="30" spans="1:1">
      <c r="A30" t="s">
        <v>483</v>
      </c>
    </row>
    <row r="31" spans="1:1">
      <c r="A31" t="s">
        <v>484</v>
      </c>
    </row>
    <row r="32" spans="1:1">
      <c r="A32" t="s">
        <v>485</v>
      </c>
    </row>
    <row r="33" spans="1:1">
      <c r="A33" t="s">
        <v>486</v>
      </c>
    </row>
    <row r="34" spans="1:1">
      <c r="A34" t="s">
        <v>487</v>
      </c>
    </row>
    <row r="35" spans="1:1">
      <c r="A35" t="s">
        <v>488</v>
      </c>
    </row>
    <row r="36" spans="1:1">
      <c r="A36" t="s">
        <v>489</v>
      </c>
    </row>
    <row r="37" spans="1:1">
      <c r="A37" t="s">
        <v>490</v>
      </c>
    </row>
    <row r="38" spans="1:1">
      <c r="A38" t="s">
        <v>491</v>
      </c>
    </row>
    <row r="39" spans="1:1">
      <c r="A39" t="s">
        <v>492</v>
      </c>
    </row>
    <row r="40" spans="1:1">
      <c r="A40" t="s">
        <v>493</v>
      </c>
    </row>
    <row r="41" spans="1:1">
      <c r="A41" t="s">
        <v>494</v>
      </c>
    </row>
    <row r="42" spans="1:1">
      <c r="A42" t="s">
        <v>495</v>
      </c>
    </row>
    <row r="43" spans="1:1">
      <c r="A43" t="s">
        <v>496</v>
      </c>
    </row>
    <row r="44" spans="1:1">
      <c r="A44" t="s">
        <v>497</v>
      </c>
    </row>
    <row r="45" spans="1:1">
      <c r="A45" t="s">
        <v>498</v>
      </c>
    </row>
    <row r="46" spans="1:1">
      <c r="A46" t="s">
        <v>499</v>
      </c>
    </row>
    <row r="47" spans="1:1">
      <c r="A47" t="s">
        <v>500</v>
      </c>
    </row>
    <row r="48" spans="1:1">
      <c r="A48" t="s">
        <v>501</v>
      </c>
    </row>
    <row r="49" spans="1:1">
      <c r="A49" t="s">
        <v>502</v>
      </c>
    </row>
    <row r="50" spans="1:1">
      <c r="A50" t="s">
        <v>503</v>
      </c>
    </row>
    <row r="51" spans="1:1">
      <c r="A51" t="s">
        <v>504</v>
      </c>
    </row>
    <row r="52" spans="1:1">
      <c r="A52" t="s">
        <v>505</v>
      </c>
    </row>
    <row r="53" spans="1:1">
      <c r="A53" t="s">
        <v>506</v>
      </c>
    </row>
    <row r="54" spans="1:1">
      <c r="A54" t="s">
        <v>507</v>
      </c>
    </row>
    <row r="55" spans="1:1">
      <c r="A55" t="s">
        <v>508</v>
      </c>
    </row>
    <row r="56" spans="1:1">
      <c r="A56" t="s">
        <v>509</v>
      </c>
    </row>
    <row r="57" spans="1:1">
      <c r="A57" t="s">
        <v>510</v>
      </c>
    </row>
    <row r="58" spans="1:1">
      <c r="A58" t="s">
        <v>511</v>
      </c>
    </row>
    <row r="59" spans="1:1">
      <c r="A59" t="s">
        <v>512</v>
      </c>
    </row>
    <row r="60" spans="1:1">
      <c r="A60" t="s">
        <v>513</v>
      </c>
    </row>
    <row r="61" spans="1:1">
      <c r="A61" t="s">
        <v>514</v>
      </c>
    </row>
    <row r="62" spans="1:1">
      <c r="A62" t="s">
        <v>515</v>
      </c>
    </row>
    <row r="63" spans="1:1">
      <c r="A63" t="s">
        <v>516</v>
      </c>
    </row>
    <row r="64" spans="1:1">
      <c r="A64" t="s">
        <v>517</v>
      </c>
    </row>
    <row r="65" spans="1:1">
      <c r="A65" t="s">
        <v>518</v>
      </c>
    </row>
    <row r="66" spans="1:1">
      <c r="A66" t="s">
        <v>519</v>
      </c>
    </row>
    <row r="67" spans="1:1">
      <c r="A67" t="s">
        <v>520</v>
      </c>
    </row>
    <row r="68" spans="1:1">
      <c r="A68" t="s">
        <v>521</v>
      </c>
    </row>
    <row r="69" spans="1:1">
      <c r="A69" t="s">
        <v>522</v>
      </c>
    </row>
    <row r="70" spans="1:1">
      <c r="A70" t="s">
        <v>523</v>
      </c>
    </row>
    <row r="71" spans="1:1">
      <c r="A71" t="s">
        <v>524</v>
      </c>
    </row>
    <row r="72" spans="1:1">
      <c r="A72" t="s">
        <v>525</v>
      </c>
    </row>
    <row r="73" spans="1:1">
      <c r="A73" t="s">
        <v>526</v>
      </c>
    </row>
    <row r="74" spans="1:1">
      <c r="A74" t="s">
        <v>527</v>
      </c>
    </row>
    <row r="75" spans="1:1">
      <c r="A75" t="s">
        <v>528</v>
      </c>
    </row>
    <row r="76" spans="1:1">
      <c r="A76" t="s">
        <v>529</v>
      </c>
    </row>
    <row r="77" spans="1:1">
      <c r="A77" t="s">
        <v>530</v>
      </c>
    </row>
    <row r="78" spans="1:1">
      <c r="A78" t="s">
        <v>531</v>
      </c>
    </row>
    <row r="79" spans="1:1">
      <c r="A79" t="s">
        <v>532</v>
      </c>
    </row>
    <row r="80" spans="1:1">
      <c r="A80" t="s">
        <v>533</v>
      </c>
    </row>
    <row r="81" spans="1:1">
      <c r="A81" t="s">
        <v>534</v>
      </c>
    </row>
    <row r="82" spans="1:1">
      <c r="A82" t="s">
        <v>535</v>
      </c>
    </row>
    <row r="83" spans="1:1">
      <c r="A83" t="s">
        <v>536</v>
      </c>
    </row>
    <row r="84" spans="1:1">
      <c r="A84" t="s">
        <v>537</v>
      </c>
    </row>
    <row r="85" spans="1:1">
      <c r="A85" t="s">
        <v>538</v>
      </c>
    </row>
    <row r="86" spans="1:1">
      <c r="A86" t="s">
        <v>539</v>
      </c>
    </row>
    <row r="87" spans="1:1">
      <c r="A87" t="s">
        <v>540</v>
      </c>
    </row>
    <row r="88" spans="1:1">
      <c r="A88" t="s">
        <v>541</v>
      </c>
    </row>
    <row r="89" spans="1:1">
      <c r="A89" t="s">
        <v>542</v>
      </c>
    </row>
    <row r="90" spans="1:1">
      <c r="A90" t="s">
        <v>543</v>
      </c>
    </row>
    <row r="91" spans="1:1">
      <c r="A91" t="s">
        <v>544</v>
      </c>
    </row>
    <row r="92" spans="1:1">
      <c r="A92" t="s">
        <v>545</v>
      </c>
    </row>
    <row r="93" spans="1:1">
      <c r="A93" t="s">
        <v>546</v>
      </c>
    </row>
    <row r="94" spans="1:1">
      <c r="A94" t="s">
        <v>547</v>
      </c>
    </row>
    <row r="95" spans="1:1">
      <c r="A95" t="s">
        <v>548</v>
      </c>
    </row>
    <row r="96" spans="1:1">
      <c r="A96" t="s">
        <v>549</v>
      </c>
    </row>
    <row r="97" spans="1:1">
      <c r="A97" t="s">
        <v>550</v>
      </c>
    </row>
    <row r="98" spans="1:1">
      <c r="A98" t="s">
        <v>551</v>
      </c>
    </row>
    <row r="99" spans="1:1">
      <c r="A99" t="s">
        <v>552</v>
      </c>
    </row>
    <row r="100" spans="1:1">
      <c r="A100" t="s">
        <v>553</v>
      </c>
    </row>
    <row r="101" spans="1:1">
      <c r="A101" t="s">
        <v>554</v>
      </c>
    </row>
    <row r="102" spans="1:1">
      <c r="A102" t="s">
        <v>555</v>
      </c>
    </row>
    <row r="103" spans="1:1">
      <c r="A103" t="s">
        <v>556</v>
      </c>
    </row>
    <row r="104" spans="1:1">
      <c r="A104" t="s">
        <v>557</v>
      </c>
    </row>
    <row r="105" spans="1:1">
      <c r="A105" t="s">
        <v>558</v>
      </c>
    </row>
    <row r="106" spans="1:1">
      <c r="A106" t="s">
        <v>559</v>
      </c>
    </row>
    <row r="107" spans="1:1">
      <c r="A107" t="s">
        <v>560</v>
      </c>
    </row>
    <row r="108" spans="1:1">
      <c r="A108" t="s">
        <v>561</v>
      </c>
    </row>
    <row r="109" spans="1:1">
      <c r="A109" t="s">
        <v>562</v>
      </c>
    </row>
    <row r="110" spans="1:1">
      <c r="A110" t="s">
        <v>563</v>
      </c>
    </row>
    <row r="111" spans="1:1">
      <c r="A111" t="s">
        <v>564</v>
      </c>
    </row>
    <row r="112" spans="1:1">
      <c r="A112" t="s">
        <v>565</v>
      </c>
    </row>
    <row r="113" spans="1:1">
      <c r="A113" t="s">
        <v>566</v>
      </c>
    </row>
    <row r="114" spans="1:1">
      <c r="A114" t="s">
        <v>567</v>
      </c>
    </row>
    <row r="115" spans="1:1">
      <c r="A115" t="s">
        <v>568</v>
      </c>
    </row>
    <row r="116" spans="1:1">
      <c r="A116" t="s">
        <v>569</v>
      </c>
    </row>
    <row r="117" spans="1:1">
      <c r="A117" t="s">
        <v>570</v>
      </c>
    </row>
    <row r="118" spans="1:1">
      <c r="A118" t="s">
        <v>571</v>
      </c>
    </row>
    <row r="119" spans="1:1">
      <c r="A119" t="s">
        <v>572</v>
      </c>
    </row>
    <row r="120" spans="1:1">
      <c r="A120" t="s">
        <v>573</v>
      </c>
    </row>
    <row r="121" spans="1:1">
      <c r="A121" t="s">
        <v>574</v>
      </c>
    </row>
    <row r="122" spans="1:1">
      <c r="A122" t="s">
        <v>575</v>
      </c>
    </row>
    <row r="123" spans="1:1">
      <c r="A123" t="s">
        <v>576</v>
      </c>
    </row>
    <row r="124" spans="1:1">
      <c r="A124" t="s">
        <v>577</v>
      </c>
    </row>
    <row r="125" spans="1:1">
      <c r="A125" t="s">
        <v>578</v>
      </c>
    </row>
    <row r="126" spans="1:1">
      <c r="A126" t="s">
        <v>579</v>
      </c>
    </row>
    <row r="127" spans="1:1">
      <c r="A127" t="s">
        <v>580</v>
      </c>
    </row>
    <row r="128" spans="1:1">
      <c r="A128" t="s">
        <v>581</v>
      </c>
    </row>
    <row r="129" spans="1:1">
      <c r="A129" t="s">
        <v>582</v>
      </c>
    </row>
    <row r="130" spans="1:1">
      <c r="A130" t="s">
        <v>583</v>
      </c>
    </row>
    <row r="131" spans="1:1">
      <c r="A131" t="s">
        <v>584</v>
      </c>
    </row>
    <row r="132" spans="1:1">
      <c r="A132" t="s">
        <v>585</v>
      </c>
    </row>
    <row r="133" spans="1:1">
      <c r="A133" t="s">
        <v>586</v>
      </c>
    </row>
    <row r="134" spans="1:1">
      <c r="A134" t="s">
        <v>587</v>
      </c>
    </row>
    <row r="135" spans="1:1">
      <c r="A135" t="s">
        <v>588</v>
      </c>
    </row>
    <row r="136" spans="1:1">
      <c r="A136" t="s">
        <v>589</v>
      </c>
    </row>
    <row r="137" spans="1:1">
      <c r="A137" t="s">
        <v>590</v>
      </c>
    </row>
    <row r="138" spans="1:1">
      <c r="A138" t="s">
        <v>591</v>
      </c>
    </row>
    <row r="139" spans="1:1">
      <c r="A139" t="s">
        <v>592</v>
      </c>
    </row>
    <row r="140" spans="1:1">
      <c r="A140" t="s">
        <v>593</v>
      </c>
    </row>
    <row r="141" spans="1:1">
      <c r="A141" t="s">
        <v>594</v>
      </c>
    </row>
    <row r="142" spans="1:1">
      <c r="A142" t="s">
        <v>595</v>
      </c>
    </row>
    <row r="143" spans="1:1">
      <c r="A143" t="s">
        <v>596</v>
      </c>
    </row>
    <row r="144" spans="1:1">
      <c r="A144" t="s">
        <v>597</v>
      </c>
    </row>
    <row r="145" spans="1:1">
      <c r="A145" t="s">
        <v>598</v>
      </c>
    </row>
    <row r="146" spans="1:1">
      <c r="A146" t="s">
        <v>599</v>
      </c>
    </row>
    <row r="147" spans="1:1">
      <c r="A147" t="s">
        <v>600</v>
      </c>
    </row>
    <row r="148" spans="1:1">
      <c r="A148" t="s">
        <v>601</v>
      </c>
    </row>
    <row r="149" spans="1:1">
      <c r="A149" t="s">
        <v>602</v>
      </c>
    </row>
    <row r="150" spans="1:1">
      <c r="A150" t="s">
        <v>603</v>
      </c>
    </row>
    <row r="151" spans="1:1">
      <c r="A151" t="s">
        <v>604</v>
      </c>
    </row>
    <row r="152" spans="1:1">
      <c r="A152" t="s">
        <v>605</v>
      </c>
    </row>
    <row r="153" spans="1:1">
      <c r="A153" t="s">
        <v>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