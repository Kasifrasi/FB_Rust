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Finanzbericht" sheetId="2" r:id="rId2"/>
  </sheets>
  <calcPr calcId="124519" fullCalcOnLoad="1"/>
</workbook>
</file>

<file path=xl/sharedStrings.xml><?xml version="1.0" encoding="utf-8"?>
<sst xmlns="http://schemas.openxmlformats.org/spreadsheetml/2006/main" count="626" uniqueCount="607">
  <si>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</si>
  <si>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</si>
  <si>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</si>
  <si>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</si>
  <si>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</si>
  <si>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</si>
  <si>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</si>
  <si>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</si>
  <si>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</si>
  <si>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</si>
  <si>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</si>
  <si>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</si>
  <si>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</si>
  <si>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</si>
  <si>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</si>
  <si>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</si>
  <si>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</si>
  <si>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</si>
  <si>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</si>
  <si>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</si>
  <si>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</si>
  <si>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</si>
  <si>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</si>
  <si>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</si>
  <si>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</si>
  <si>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</si>
  <si>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</si>
  <si>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</si>
  <si>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</si>
  <si>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</si>
  <si>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</si>
  <si>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</si>
  <si>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</si>
  <si>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</si>
  <si>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</si>
  <si>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</si>
  <si>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</si>
  <si>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</si>
  <si>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</si>
  <si>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</si>
  <si>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</si>
  <si>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</si>
  <si>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</si>
  <si>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</si>
  <si>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</si>
  <si>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</si>
  <si>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</si>
  <si>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</si>
  <si>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</si>
  <si>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</si>
  <si>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</si>
  <si>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</si>
  <si>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</si>
  <si>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</si>
  <si>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</si>
  <si>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</si>
  <si>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</si>
  <si>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</si>
  <si>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</si>
  <si>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</si>
  <si>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</si>
  <si>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</si>
  <si>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</si>
  <si>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</si>
  <si>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</si>
  <si>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</si>
  <si>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</si>
  <si>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</si>
  <si>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</si>
  <si>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</si>
  <si>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</si>
  <si>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</si>
  <si>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</si>
  <si>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</si>
  <si>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</si>
  <si>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</si>
  <si>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</si>
  <si>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</si>
  <si>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</si>
  <si>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</si>
  <si>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</si>
  <si>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</si>
  <si>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</si>
  <si>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</si>
  <si>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</si>
  <si>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</si>
  <si>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</si>
  <si>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</si>
  <si>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</si>
  <si>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</si>
  <si>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</si>
  <si>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</si>
  <si>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</si>
  <si>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</si>
  <si>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</si>
  <si>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</si>
  <si>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</si>
  <si>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</si>
  <si>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</si>
  <si>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</si>
  <si>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</si>
  <si>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</si>
  <si>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</si>
  <si>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</si>
  <si>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</si>
  <si>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</si>
  <si>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</si>
  <si>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</si>
  <si>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</si>
  <si>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</si>
  <si>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</si>
  <si>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</si>
  <si>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</si>
  <si>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</si>
  <si>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</si>
  <si>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</si>
  <si>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</si>
  <si>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</si>
  <si>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</si>
  <si>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</si>
  <si>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</si>
  <si>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</si>
  <si>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</si>
  <si>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</si>
  <si>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</si>
  <si>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</si>
  <si>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</si>
  <si>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</si>
  <si>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</si>
  <si>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</si>
  <si>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</si>
  <si>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</si>
  <si>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</si>
  <si>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</si>
  <si>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</si>
  <si>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</si>
  <si>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</si>
  <si>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</si>
  <si>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</si>
  <si>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</si>
  <si>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</si>
  <si>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</si>
  <si>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</si>
  <si>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</si>
  <si>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</si>
  <si>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</si>
  <si>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</si>
  <si>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</si>
  <si>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</si>
  <si>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</si>
  <si>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</si>
  <si>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</si>
  <si>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</si>
  <si>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</si>
  <si>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</si>
  <si>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</si>
  <si>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</si>
  <si>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</si>
  <si>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</si>
  <si>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</si>
  <si>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</si>
  <si>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</si>
  <si>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</si>
  <si>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</si>
  <si>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</si>
  <si>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</si>
  <si>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</si>
  <si>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</si>
  <si>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</si>
  <si>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</si>
  <si>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</si>
  <si>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</si>
  <si>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</si>
  <si>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</si>
  <si>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</si>
  <si>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</si>
  <si>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</si>
  <si>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</si>
  <si>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</si>
  <si>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</si>
  <si>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</si>
  <si>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</si>
  <si>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</si>
  <si>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</si>
  <si>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</si>
  <si>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</si>
  <si>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</si>
  <si>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</si>
  <si>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</si>
  <si>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</si>
  <si>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</si>
  <si>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</si>
  <si>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</si>
  <si>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</si>
  <si>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</si>
  <si>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</si>
  <si>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</si>
  <si>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</si>
  <si>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</si>
  <si>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</si>
  <si>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</si>
  <si>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</si>
  <si>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</si>
  <si>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</si>
  <si>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</si>
  <si>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</si>
  <si>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</si>
  <si>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</si>
  <si>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</si>
  <si>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</si>
  <si>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</si>
  <si>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</si>
  <si>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</si>
  <si>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</si>
  <si>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</si>
  <si>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</si>
  <si>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</si>
  <si>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</si>
  <si>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</si>
  <si>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</si>
  <si>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</si>
  <si>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</si>
  <si>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</si>
  <si>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</si>
  <si>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</si>
  <si>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</si>
  <si>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</si>
  <si>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</si>
  <si>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</si>
  <si>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</si>
  <si>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</si>
  <si>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</si>
  <si>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</si>
  <si>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</si>
  <si>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</si>
  <si>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</si>
  <si>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</si>
  <si>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</si>
  <si>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</si>
  <si>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</si>
  <si>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</si>
  <si>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</si>
  <si>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</si>
  <si>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</si>
  <si>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</si>
  <si>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</si>
  <si>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</si>
  <si>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</si>
  <si>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</si>
  <si>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</si>
  <si>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</si>
  <si>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</si>
  <si>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</si>
  <si>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</si>
  <si>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</si>
  <si>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</si>
  <si>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</si>
  <si>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</si>
  <si>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</si>
  <si>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</si>
  <si>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</si>
  <si>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</si>
  <si>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</si>
  <si>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</si>
  <si>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</si>
  <si>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</si>
  <si>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</si>
  <si>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</si>
  <si>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</si>
  <si>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</si>
  <si>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</si>
  <si>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</si>
  <si>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</si>
  <si>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</si>
  <si>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</si>
  <si>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</si>
  <si>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</si>
  <si>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</si>
  <si>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</si>
  <si>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</si>
  <si>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</si>
  <si>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</si>
  <si>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</si>
  <si>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</si>
  <si>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</si>
  <si>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</si>
  <si>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</si>
  <si>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</si>
  <si>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</si>
  <si>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</si>
  <si>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</si>
  <si>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</si>
  <si>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</si>
  <si>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</si>
  <si>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</si>
  <si>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</si>
  <si>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</si>
  <si>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</si>
  <si>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</si>
  <si>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</si>
  <si>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</si>
  <si>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</si>
  <si>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</si>
  <si>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</si>
  <si>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</si>
  <si>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</si>
  <si>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</si>
  <si>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</si>
  <si>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</si>
  <si>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</si>
  <si>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</si>
  <si>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</si>
  <si>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</si>
  <si>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</si>
  <si>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</si>
  <si>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</si>
  <si>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</si>
  <si>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</si>
  <si>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</si>
  <si>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</si>
  <si>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</si>
  <si>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</si>
  <si>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</si>
  <si>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</si>
  <si>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</si>
  <si>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</si>
  <si>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</si>
  <si>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</si>
  <si>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</si>
  <si>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</si>
  <si>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</si>
  <si>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</si>
  <si>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</si>
  <si>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</si>
  <si>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</si>
  <si>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</si>
  <si>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</si>
  <si>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</si>
  <si>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</si>
  <si>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</si>
  <si>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</si>
  <si>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</si>
  <si>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</si>
  <si>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</si>
  <si>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</si>
  <si>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</si>
  <si>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</si>
  <si>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</si>
  <si>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</si>
  <si>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</si>
  <si>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</si>
  <si>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</si>
  <si>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</si>
  <si>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</si>
  <si>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</si>
  <si>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</si>
  <si>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</si>
  <si>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</si>
  <si>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</si>
  <si>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</si>
  <si>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</si>
  <si>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</si>
  <si>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</si>
  <si>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</si>
  <si>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</si>
  <si>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</si>
  <si>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</si>
  <si>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</si>
  <si>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</si>
  <si>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</si>
  <si>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</si>
  <si>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</si>
  <si>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</si>
  <si>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</si>
  <si>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</si>
  <si>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</si>
  <si>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</si>
  <si>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</si>
  <si>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</si>
  <si>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</si>
  <si>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</si>
  <si>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</si>
  <si>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</si>
  <si>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</si>
  <si>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</si>
  <si>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</si>
  <si>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</si>
  <si>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</si>
  <si>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</si>
  <si>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</si>
  <si>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</si>
  <si>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</si>
  <si>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</si>
  <si>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</si>
  <si>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</si>
  <si>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</si>
  <si>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</si>
  <si>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</si>
  <si>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</si>
  <si>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</si>
  <si>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</si>
  <si>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</si>
  <si>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</si>
  <si>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</si>
  <si>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</si>
  <si>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</si>
  <si>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</si>
  <si>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</si>
  <si>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</si>
  <si>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</si>
  <si>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</si>
  <si>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</si>
  <si>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</si>
  <si>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</si>
  <si>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</si>
  <si>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</si>
  <si>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</si>
  <si>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</si>
  <si>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</si>
  <si>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</si>
  <si>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</si>
  <si>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</si>
  <si>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</si>
  <si>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</si>
  <si>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</si>
  <si>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</si>
  <si>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</si>
  <si>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</si>
  <si>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</si>
  <si>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</si>
  <si>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</si>
  <si>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</si>
  <si>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</si>
  <si>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</si>
  <si>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</si>
  <si>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</si>
  <si>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</si>
  <si>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</si>
  <si>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</si>
  <si>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</si>
  <si>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</si>
  <si>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</si>
  <si>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</si>
  <si>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</si>
  <si>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</si>
  <si>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</si>
  <si>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_de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</si>
  <si>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</si>
  <si>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</si>
  <si>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</si>
  <si>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</si>
  <si>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</si>
  <si>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</si>
  <si>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</si>
  <si>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</si>
  <si>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</si>
  <si>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</si>
  <si>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</si>
  <si>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</si>
  <si>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</si>
  <si>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</si>
  <si>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</si>
  <si>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</si>
  <si>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</si>
  <si>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</si>
  <si>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</si>
  <si>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</si>
  <si>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</si>
  <si>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</si>
  <si>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</si>
  <si>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</si>
  <si>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</si>
  <si>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</si>
  <si>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</si>
  <si>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</si>
  <si>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</si>
  <si>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</si>
  <si>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</si>
  <si>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</si>
  <si>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</si>
  <si>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</si>
  <si>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</si>
  <si>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</si>
  <si>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</si>
  <si>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</si>
  <si>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</si>
  <si>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</si>
  <si>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</si>
  <si>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</si>
  <si>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</si>
  <si>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</si>
  <si>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</si>
  <si>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</si>
  <si>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</si>
  <si>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</si>
  <si>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</si>
  <si>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</si>
  <si>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</si>
  <si>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</si>
  <si>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</si>
  <si>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</si>
  <si>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</si>
  <si>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</si>
  <si>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</si>
  <si>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</si>
  <si>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</si>
  <si>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</si>
  <si>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</si>
  <si>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</si>
  <si>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</si>
  <si>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</si>
  <si>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</si>
  <si>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</si>
  <si>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</si>
  <si>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</si>
  <si>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</si>
  <si>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</si>
  <si>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</si>
  <si>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</si>
  <si>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2.29</t>
  </si>
  <si>
    <t>2.30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</si>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</sst>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1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2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8" t="str">
        <f>IF($E$2="","",VLOOKUP($E$2,Sprachversionen!$B:$BN,30,FALSE))</f>
        <v/>
      </c>
      <c r="C33" s="69"/>
      <c r="D33" s="70" t="str">
        <f>SUMPRODUCT(ROUND(D28:D32,2))</f>
        <v/>
      </c>
      <c r="E33" s="70" t="str">
        <f>SUMPRODUCT(ROUND(E28:E32,2))</f>
        <v/>
      </c>
      <c r="F33" s="70" t="str">
        <f>SUMPRODUCT(ROUND(F28:F32,2))</f>
        <v/>
      </c>
      <c r="G33" s="66" t="str">
        <f>IFERROR(INDEX($F$1:$F$1001,ROW())/INDEX($D$1:$D$1001,ROW()),0)</f>
        <v/>
      </c>
      <c r="H33" s="71"/>
    </row>
    <row r="34" spans="2:8">
      <c r="B34" s="56" t="s">
        <v>490</v>
      </c>
      <c r="C34" s="57" t="str">
        <f>IF($E$2="","",VLOOKUP($E$2,Sprachversionen!$B:$BN,31,FALSE))</f>
        <v/>
      </c>
      <c r="D34" s="58"/>
      <c r="E34" s="58"/>
      <c r="F34" s="58"/>
      <c r="G34" s="59"/>
      <c r="H34" s="60"/>
    </row>
    <row r="35" spans="2:8">
      <c r="B35" s="61" t="s">
        <v>491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492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493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494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495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496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497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498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499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500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501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502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503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1" t="s">
        <v>504</v>
      </c>
      <c r="C48" s="62"/>
      <c r="D48" s="63"/>
      <c r="E48" s="64"/>
      <c r="F48" s="65"/>
      <c r="G48" s="66" t="str">
        <f>IFERROR(INDEX($F$1:$F$1001,ROW())/INDEX($D$1:$D$1001,ROW()),0)</f>
        <v/>
      </c>
      <c r="H48" s="67"/>
    </row>
    <row r="49" spans="2:8">
      <c r="B49" s="61" t="s">
        <v>505</v>
      </c>
      <c r="C49" s="62"/>
      <c r="D49" s="63"/>
      <c r="E49" s="64"/>
      <c r="F49" s="65"/>
      <c r="G49" s="66" t="str">
        <f>IFERROR(INDEX($F$1:$F$1001,ROW())/INDEX($D$1:$D$1001,ROW()),0)</f>
        <v/>
      </c>
      <c r="H49" s="67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8" t="str">
        <f>IF($E$2="","",VLOOKUP($E$2,Sprachversionen!$B:$BN,32,FALSE))</f>
        <v/>
      </c>
      <c r="C65" s="69"/>
      <c r="D65" s="70" t="str">
        <f>SUMPRODUCT(ROUND(D35:D64,2))</f>
        <v/>
      </c>
      <c r="E65" s="70" t="str">
        <f>SUMPRODUCT(ROUND(E35:E64,2))</f>
        <v/>
      </c>
      <c r="F65" s="70" t="str">
        <f>SUMPRODUCT(ROUND(F35:F64,2))</f>
        <v/>
      </c>
      <c r="G65" s="66" t="str">
        <f>IFERROR(INDEX($F$1:$F$1001,ROW())/INDEX($D$1:$D$1001,ROW()),0)</f>
        <v/>
      </c>
      <c r="H65" s="71"/>
    </row>
    <row r="66" spans="2:8">
      <c r="B66" s="56" t="s">
        <v>521</v>
      </c>
      <c r="C66" s="57" t="str">
        <f>IF($E$2="","",VLOOKUP($E$2,Sprachversionen!$B:$BN,33,FALSE))</f>
        <v/>
      </c>
      <c r="D66" s="58"/>
      <c r="E66" s="58"/>
      <c r="F66" s="58"/>
      <c r="G66" s="59"/>
      <c r="H66" s="60"/>
    </row>
    <row r="67" spans="2:8">
      <c r="B67" s="61" t="s">
        <v>522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523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524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1" t="s">
        <v>525</v>
      </c>
      <c r="C70" s="62"/>
      <c r="D70" s="63"/>
      <c r="E70" s="64"/>
      <c r="F70" s="65"/>
      <c r="G70" s="66" t="str">
        <f>IFERROR(INDEX($F$1:$F$1001,ROW())/INDEX($D$1:$D$1001,ROW()),0)</f>
        <v/>
      </c>
      <c r="H70" s="67"/>
    </row>
    <row r="71" spans="2:8">
      <c r="B71" s="61" t="s">
        <v>526</v>
      </c>
      <c r="C71" s="62"/>
      <c r="D71" s="63"/>
      <c r="E71" s="64"/>
      <c r="F71" s="65"/>
      <c r="G71" s="66" t="str">
        <f>IFERROR(INDEX($F$1:$F$1001,ROW())/INDEX($D$1:$D$1001,ROW()),0)</f>
        <v/>
      </c>
      <c r="H71" s="67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8" t="str">
        <f>IF($E$2="","",VLOOKUP($E$2,Sprachversionen!$B:$BN,34,FALSE))</f>
        <v/>
      </c>
      <c r="C97" s="69"/>
      <c r="D97" s="70" t="str">
        <f>SUMPRODUCT(ROUND(D67:D96,2))</f>
        <v/>
      </c>
      <c r="E97" s="70" t="str">
        <f>SUMPRODUCT(ROUND(E67:E96,2))</f>
        <v/>
      </c>
      <c r="F97" s="70" t="str">
        <f>SUMPRODUCT(ROUND(F67:F96,2))</f>
        <v/>
      </c>
      <c r="G97" s="66" t="str">
        <f>IFERROR(INDEX($F$1:$F$1001,ROW())/INDEX($D$1:$D$1001,ROW()),0)</f>
        <v/>
      </c>
      <c r="H97" s="71"/>
    </row>
    <row r="98" spans="2:8">
      <c r="B98" s="56" t="s">
        <v>552</v>
      </c>
      <c r="C98" s="57" t="str">
        <f>IF($E$2="","",VLOOKUP($E$2,Sprachversionen!$B:$BN,35,FALSE))</f>
        <v/>
      </c>
      <c r="D98" s="58"/>
      <c r="E98" s="58"/>
      <c r="F98" s="58"/>
      <c r="G98" s="59"/>
      <c r="H98" s="60"/>
    </row>
    <row r="99" spans="2:8">
      <c r="B99" s="61" t="s">
        <v>553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554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555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1" t="s">
        <v>556</v>
      </c>
      <c r="C102" s="62"/>
      <c r="D102" s="63"/>
      <c r="E102" s="64"/>
      <c r="F102" s="65"/>
      <c r="G102" s="66" t="str">
        <f>IFERROR(INDEX($F$1:$F$1001,ROW())/INDEX($D$1:$D$1001,ROW()),0)</f>
        <v/>
      </c>
      <c r="H102" s="67"/>
    </row>
    <row r="103" spans="2:8">
      <c r="B103" s="61" t="s">
        <v>557</v>
      </c>
      <c r="C103" s="62"/>
      <c r="D103" s="63"/>
      <c r="E103" s="64"/>
      <c r="F103" s="65"/>
      <c r="G103" s="66" t="str">
        <f>IFERROR(INDEX($F$1:$F$1001,ROW())/INDEX($D$1:$D$1001,ROW()),0)</f>
        <v/>
      </c>
      <c r="H103" s="67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8" t="str">
        <f>IF($E$2="","",VLOOKUP($E$2,Sprachversionen!$B:$BN,36,FALSE))</f>
        <v/>
      </c>
      <c r="C129" s="69"/>
      <c r="D129" s="70" t="str">
        <f>SUMPRODUCT(ROUND(D99:D128,2))</f>
        <v/>
      </c>
      <c r="E129" s="70" t="str">
        <f>SUMPRODUCT(ROUND(E99:E128,2))</f>
        <v/>
      </c>
      <c r="F129" s="70" t="str">
        <f>SUMPRODUCT(ROUND(F99:F128,2))</f>
        <v/>
      </c>
      <c r="G129" s="66" t="str">
        <f>IFERROR(INDEX($F$1:$F$1001,ROW())/INDEX($D$1:$D$1001,ROW()),0)</f>
        <v/>
      </c>
      <c r="H129" s="71"/>
    </row>
    <row r="130" spans="2:8">
      <c r="B130" s="56" t="s">
        <v>583</v>
      </c>
      <c r="C130" s="57" t="str">
        <f>IF($E$2="","",VLOOKUP($E$2,Sprachversionen!$B:$BN,37,FALSE))</f>
        <v/>
      </c>
      <c r="D130" s="58"/>
      <c r="E130" s="58"/>
      <c r="F130" s="58"/>
      <c r="G130" s="59"/>
      <c r="H130" s="60"/>
    </row>
    <row r="131" spans="2:8">
      <c r="B131" s="61" t="s">
        <v>584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585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586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1" t="s">
        <v>587</v>
      </c>
      <c r="C134" s="62"/>
      <c r="D134" s="63"/>
      <c r="E134" s="64"/>
      <c r="F134" s="65"/>
      <c r="G134" s="66" t="str">
        <f>IFERROR(INDEX($F$1:$F$1001,ROW())/INDEX($D$1:$D$1001,ROW()),0)</f>
        <v/>
      </c>
      <c r="H134" s="67"/>
    </row>
    <row r="135" spans="2:8">
      <c r="B135" s="61" t="s">
        <v>588</v>
      </c>
      <c r="C135" s="62"/>
      <c r="D135" s="63"/>
      <c r="E135" s="64"/>
      <c r="F135" s="65"/>
      <c r="G135" s="66" t="str">
        <f>IFERROR(INDEX($F$1:$F$1001,ROW())/INDEX($D$1:$D$1001,ROW()),0)</f>
        <v/>
      </c>
      <c r="H135" s="67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8" t="str">
        <f>IF($E$2="","",VLOOKUP($E$2,Sprachversionen!$B:$BN,38,FALSE))</f>
        <v/>
      </c>
      <c r="C151" s="69"/>
      <c r="D151" s="70" t="str">
        <f>SUMPRODUCT(ROUND(D131:D150,2))</f>
        <v/>
      </c>
      <c r="E151" s="70" t="str">
        <f>SUMPRODUCT(ROUND(E131:E150,2))</f>
        <v/>
      </c>
      <c r="F151" s="70" t="str">
        <f>SUMPRODUCT(ROUND(F131:F150,2))</f>
        <v/>
      </c>
      <c r="G151" s="66" t="str">
        <f>IFERROR(INDEX($F$1:$F$1001,ROW())/INDEX($D$1:$D$1001,ROW()),0)</f>
        <v/>
      </c>
      <c r="H151" s="71"/>
    </row>
    <row r="152" spans="2:8">
      <c r="B152" s="56" t="s">
        <v>604</v>
      </c>
      <c r="C152" s="72" t="str">
        <f>IF($E$2="","",VLOOKUP($E$2,Sprachversionen!$B:$BN,39,FALSE))</f>
        <v/>
      </c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56" t="s">
        <v>605</v>
      </c>
      <c r="C153" s="72" t="str">
        <f>IF($E$2="","",VLOOKUP($E$2,Sprachversionen!$B:$BN,40,FALSE))</f>
        <v/>
      </c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56" t="s">
        <v>606</v>
      </c>
      <c r="C154" s="73" t="str">
        <f>IF($E$2="","",VLOOKUP($E$2,Sprachversionen!$B:$BN,41,FALSE))</f>
        <v/>
      </c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74" t="str">
        <f>IF($E$2="","",VLOOKUP($E$2,Sprachversionen!$B:$BN,42,FALSE))</f>
        <v/>
      </c>
      <c r="C155" s="75"/>
      <c r="D155" s="76" t="str">
        <f>SUM(D33+D65+D97+D129+D151+D152+D153+D154)</f>
        <v/>
      </c>
      <c r="E155" s="76" t="str">
        <f>SUM(E33+E65+E97+E129+E151+E152+E153+E154)</f>
        <v/>
      </c>
      <c r="F155" s="76" t="str">
        <f>SUM(F33+F65+F97+F129+F151+F152+F153+F154)</f>
        <v/>
      </c>
      <c r="G155" s="66" t="str">
        <f>IFERROR(INDEX($F$1:$F$1001,ROW())/INDEX($D$1:$D$1001,ROW()),0)</f>
        <v/>
      </c>
      <c r="H155" s="77"/>
    </row>
    <row r="159" spans="2:8">
      <c r="E159" s="79" t="str">
        <f>IF($E$2="","",VLOOKUP($E$2,Sprachversionen!$B:$BN,44,FALSE))</f>
        <v/>
      </c>
    </row>
    <row r="160" spans="2:8">
      <c r="B160" s="78" t="str">
        <f>IF($E$2="","",VLOOKUP($E$2,Sprachversionen!$B:$BN,43,FALSE))</f>
        <v/>
      </c>
      <c r="C160" s="78"/>
      <c r="D160" s="78"/>
      <c r="E160" s="79"/>
    </row>
    <row r="161" spans="2:5">
      <c r="B161" s="6"/>
      <c r="C161" s="6"/>
      <c r="D161" s="80"/>
      <c r="E161" s="80" t="str">
        <f>B13</f>
        <v/>
      </c>
    </row>
    <row r="163" spans="2:5">
      <c r="B163" s="57" t="str">
        <f>IF($E$2="","",VLOOKUP($E$2,Sprachversionen!$B:$BN,45,FALSE))</f>
        <v/>
      </c>
      <c r="C163" s="57"/>
      <c r="D163" s="81" t="str">
        <f>IF(ROUND(E163;2)=ROUND(F20-F155;2);"✓";"")</f>
        <v/>
      </c>
      <c r="E163" s="65" t="str">
        <f>E20-E155</f>
        <v/>
      </c>
    </row>
    <row r="165" spans="2:5">
      <c r="B165" s="57" t="str">
        <f>IF($E$2="","",VLOOKUP($E$2,Sprachversionen!$B:$BN,46,FALSE))</f>
        <v/>
      </c>
      <c r="C165" s="57"/>
      <c r="D165" s="57"/>
      <c r="E165" s="82" t="str">
        <f>IF(E163=SUM(E165:E167);"OK";"")</f>
        <v/>
      </c>
    </row>
    <row r="166" spans="2:5">
      <c r="B166" s="83" t="str">
        <f>IF($E$2="","",VLOOKUP($E$2,Sprachversionen!$B:$BN,47,FALSE))</f>
        <v/>
      </c>
      <c r="C166" s="83"/>
      <c r="D166" s="83"/>
      <c r="E166" s="65"/>
    </row>
    <row r="167" spans="2:5">
      <c r="B167" s="83" t="str">
        <f>IF($E$2="","",VLOOKUP($E$2,Sprachversionen!$B:$BN,48,FALSE))</f>
        <v/>
      </c>
      <c r="C167" s="83"/>
      <c r="D167" s="83"/>
      <c r="E167" s="65"/>
    </row>
    <row r="168" spans="2:5">
      <c r="B168" s="83" t="str">
        <f>IF($E$2="","",VLOOKUP($E$2,Sprachversionen!$B:$BN,49,FALSE))</f>
        <v/>
      </c>
      <c r="C168" s="83"/>
      <c r="D168" s="83"/>
      <c r="E168" s="65"/>
    </row>
    <row r="169" spans="2:5">
      <c r="B169" s="6"/>
      <c r="C169" s="6"/>
      <c r="D169" s="6"/>
      <c r="E169" s="6"/>
    </row>
    <row r="170" spans="2:5">
      <c r="B170" s="6"/>
      <c r="C170" s="6"/>
      <c r="D170" s="6"/>
      <c r="E170" s="6"/>
    </row>
    <row r="171" spans="2:5">
      <c r="B171" s="6"/>
      <c r="C171" s="6"/>
      <c r="D171" s="6"/>
      <c r="E171" s="6"/>
    </row>
    <row r="172" spans="2:5">
      <c r="B172" s="6" t="str">
        <f>IF($E$2="","",VLOOKUP($E$2,Sprachversionen!$B:$BN,50,FALSE))</f>
        <v/>
      </c>
    </row>
    <row r="173" spans="2:5">
      <c r="B173" s="6" t="str">
        <f>IF($E$2="","",VLOOKUP($E$2,Sprachversionen!$B:$BN,54,FALSE))</f>
        <v/>
      </c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/>
      <c r="C177" s="6"/>
      <c r="D177" s="6"/>
      <c r="E177" s="6"/>
    </row>
    <row r="178" spans="2:5">
      <c r="B178" s="84" t="str">
        <f>IF($E$2="","",VLOOKUP($E$2,Sprachversionen!$B:$BN,51,FALSE))</f>
        <v/>
      </c>
      <c r="C178" s="6"/>
      <c r="D178" s="84" t="str">
        <f>IF($E$2="","",VLOOKUP($E$2,Sprachversionen!$B:$BN,52,FALSE))</f>
        <v/>
      </c>
      <c r="E178" s="6"/>
    </row>
    <row r="179" spans="2:5">
      <c r="B179" s="6"/>
      <c r="C179" s="6"/>
      <c r="D179" s="6"/>
      <c r="E179" s="6"/>
    </row>
    <row r="182" spans="2:5">
      <c r="B182" s="38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0:D160"/>
    <mergeCell ref="E159:E160"/>
    <mergeCell ref="B161:C16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Finanzbericht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2026-01-18T21:35:19Z</dcterms:created>
  <dcterms:modified xsi:type="dcterms:W3CDTF">2026-01-18T21:35:19Z</dcterms:modified>
</cp:coreProperties>
</file>